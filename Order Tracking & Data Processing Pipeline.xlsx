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8_{1C39ADD4-26F7-4BF8-BA60-6694EF0F12F3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Dashboard" sheetId="1" r:id="rId1"/>
    <sheet name="Unit Register" sheetId="2" r:id="rId2"/>
    <sheet name="Order Summary" sheetId="3" r:id="rId3"/>
    <sheet name="Audit Checks" sheetId="4" r:id="rId4"/>
    <sheet name="Read 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" i="2" l="1"/>
  <c r="G106" i="2"/>
  <c r="O9" i="1" a="1"/>
  <c r="B8" i="4"/>
  <c r="K24" i="1" s="1"/>
  <c r="B7" i="4"/>
  <c r="K23" i="1" s="1"/>
  <c r="F24" i="3"/>
  <c r="G24" i="3" s="1"/>
  <c r="F23" i="3"/>
  <c r="G23" i="3" s="1"/>
  <c r="F22" i="3"/>
  <c r="G22" i="3" s="1"/>
  <c r="F21" i="3"/>
  <c r="G21" i="3" s="1"/>
  <c r="F20" i="3"/>
  <c r="G20" i="3" s="1"/>
  <c r="F19" i="3"/>
  <c r="F18" i="3"/>
  <c r="F17" i="3"/>
  <c r="F16" i="3"/>
  <c r="F15" i="3"/>
  <c r="F14" i="3"/>
  <c r="F13" i="3"/>
  <c r="F12" i="3"/>
  <c r="F11" i="3"/>
  <c r="F10" i="3"/>
  <c r="F9" i="3"/>
  <c r="F8" i="3"/>
  <c r="C8" i="3"/>
  <c r="F7" i="3"/>
  <c r="F6" i="3"/>
  <c r="F5" i="3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C23" i="3" s="1"/>
  <c r="D23" i="3" s="1"/>
  <c r="E23" i="3" s="1"/>
  <c r="G90" i="2"/>
  <c r="G89" i="2"/>
  <c r="G88" i="2"/>
  <c r="G87" i="2"/>
  <c r="G86" i="2"/>
  <c r="G85" i="2"/>
  <c r="G84" i="2"/>
  <c r="G83" i="2"/>
  <c r="G82" i="2"/>
  <c r="G81" i="2"/>
  <c r="G80" i="2"/>
  <c r="C21" i="3" s="1"/>
  <c r="D21" i="3" s="1"/>
  <c r="E21" i="3" s="1"/>
  <c r="G79" i="2"/>
  <c r="G78" i="2"/>
  <c r="G77" i="2"/>
  <c r="G76" i="2"/>
  <c r="G75" i="2"/>
  <c r="G74" i="2"/>
  <c r="G73" i="2"/>
  <c r="G72" i="2"/>
  <c r="G71" i="2"/>
  <c r="G70" i="2"/>
  <c r="G69" i="2"/>
  <c r="G68" i="2"/>
  <c r="C19" i="3" s="1"/>
  <c r="G67" i="2"/>
  <c r="G66" i="2"/>
  <c r="G65" i="2"/>
  <c r="G64" i="2"/>
  <c r="G63" i="2"/>
  <c r="G62" i="2"/>
  <c r="G61" i="2"/>
  <c r="G60" i="2"/>
  <c r="G59" i="2"/>
  <c r="G58" i="2"/>
  <c r="C18" i="3" s="1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C12" i="3" s="1"/>
  <c r="G27" i="2"/>
  <c r="G26" i="2"/>
  <c r="G25" i="2"/>
  <c r="G24" i="2"/>
  <c r="G23" i="2"/>
  <c r="G22" i="2"/>
  <c r="G21" i="2"/>
  <c r="G20" i="2"/>
  <c r="G19" i="2"/>
  <c r="G18" i="2"/>
  <c r="G17" i="2"/>
  <c r="G16" i="2"/>
  <c r="C9" i="3" s="1"/>
  <c r="G15" i="2"/>
  <c r="C7" i="3" s="1"/>
  <c r="G14" i="2"/>
  <c r="G13" i="2"/>
  <c r="G12" i="2"/>
  <c r="G11" i="2"/>
  <c r="G10" i="2"/>
  <c r="G9" i="2"/>
  <c r="G8" i="2"/>
  <c r="G7" i="2"/>
  <c r="G6" i="2"/>
  <c r="G5" i="2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F8" i="1"/>
  <c r="B8" i="1"/>
  <c r="C11" i="3" l="1"/>
  <c r="C20" i="3"/>
  <c r="D20" i="3" s="1"/>
  <c r="E20" i="3" s="1"/>
  <c r="C14" i="3"/>
  <c r="C13" i="3"/>
  <c r="G19" i="3"/>
  <c r="N44" i="1" s="1"/>
  <c r="L44" i="1"/>
  <c r="G18" i="3"/>
  <c r="N43" i="1" s="1"/>
  <c r="L43" i="1"/>
  <c r="G17" i="3"/>
  <c r="N42" i="1" s="1"/>
  <c r="L42" i="1"/>
  <c r="G16" i="3"/>
  <c r="N41" i="1" s="1"/>
  <c r="L41" i="1"/>
  <c r="C16" i="3"/>
  <c r="C22" i="3"/>
  <c r="D22" i="3" s="1"/>
  <c r="E22" i="3" s="1"/>
  <c r="C15" i="3"/>
  <c r="C10" i="3"/>
  <c r="C6" i="3"/>
  <c r="C24" i="3"/>
  <c r="D24" i="3" s="1"/>
  <c r="E24" i="3" s="1"/>
  <c r="C17" i="3"/>
  <c r="L40" i="1"/>
  <c r="G15" i="3"/>
  <c r="N40" i="1" s="1"/>
  <c r="G14" i="3"/>
  <c r="N39" i="1" s="1"/>
  <c r="L39" i="1"/>
  <c r="L38" i="1"/>
  <c r="G13" i="3"/>
  <c r="N38" i="1" s="1"/>
  <c r="L37" i="1"/>
  <c r="G12" i="3"/>
  <c r="N37" i="1" s="1"/>
  <c r="L36" i="1"/>
  <c r="G11" i="3"/>
  <c r="N36" i="1" s="1"/>
  <c r="L35" i="1"/>
  <c r="G10" i="3"/>
  <c r="N35" i="1" s="1"/>
  <c r="L34" i="1"/>
  <c r="G9" i="3"/>
  <c r="N34" i="1" s="1"/>
  <c r="G8" i="3"/>
  <c r="N33" i="1" s="1"/>
  <c r="L33" i="1"/>
  <c r="F33" i="1"/>
  <c r="D8" i="3"/>
  <c r="L32" i="1"/>
  <c r="G7" i="3"/>
  <c r="N32" i="1" s="1"/>
  <c r="L31" i="1"/>
  <c r="G6" i="3"/>
  <c r="N31" i="1" s="1"/>
  <c r="G5" i="3"/>
  <c r="N30" i="1" s="1"/>
  <c r="L30" i="1"/>
  <c r="D19" i="3"/>
  <c r="F44" i="1"/>
  <c r="D18" i="3"/>
  <c r="F43" i="1"/>
  <c r="D12" i="3"/>
  <c r="H37" i="1" s="1"/>
  <c r="F37" i="1"/>
  <c r="D9" i="3"/>
  <c r="F34" i="1"/>
  <c r="D7" i="3"/>
  <c r="F32" i="1"/>
  <c r="C5" i="3"/>
  <c r="B6" i="4"/>
  <c r="K22" i="1" s="1"/>
  <c r="B5" i="4"/>
  <c r="K21" i="1" s="1"/>
  <c r="F36" i="1" l="1"/>
  <c r="D11" i="3"/>
  <c r="D14" i="3"/>
  <c r="F39" i="1"/>
  <c r="F38" i="1"/>
  <c r="D13" i="3"/>
  <c r="D16" i="3"/>
  <c r="F41" i="1"/>
  <c r="F40" i="1"/>
  <c r="D15" i="3"/>
  <c r="D10" i="3"/>
  <c r="F35" i="1"/>
  <c r="D6" i="3"/>
  <c r="F31" i="1"/>
  <c r="F42" i="1"/>
  <c r="D17" i="3"/>
  <c r="H33" i="1"/>
  <c r="E8" i="3"/>
  <c r="J33" i="1" s="1"/>
  <c r="E19" i="3"/>
  <c r="J44" i="1" s="1"/>
  <c r="H44" i="1"/>
  <c r="E18" i="3"/>
  <c r="J43" i="1" s="1"/>
  <c r="H43" i="1"/>
  <c r="E12" i="3"/>
  <c r="J37" i="1" s="1"/>
  <c r="E9" i="3"/>
  <c r="J34" i="1" s="1"/>
  <c r="H34" i="1"/>
  <c r="E7" i="3"/>
  <c r="J32" i="1" s="1"/>
  <c r="H32" i="1"/>
  <c r="J8" i="1"/>
  <c r="F30" i="1"/>
  <c r="D5" i="3"/>
  <c r="H36" i="1" l="1"/>
  <c r="E11" i="3"/>
  <c r="J36" i="1" s="1"/>
  <c r="H39" i="1"/>
  <c r="E14" i="3"/>
  <c r="J39" i="1" s="1"/>
  <c r="E13" i="3"/>
  <c r="J38" i="1" s="1"/>
  <c r="H38" i="1"/>
  <c r="E16" i="3"/>
  <c r="J41" i="1" s="1"/>
  <c r="H41" i="1"/>
  <c r="E10" i="3"/>
  <c r="J35" i="1" s="1"/>
  <c r="H35" i="1"/>
  <c r="E15" i="3"/>
  <c r="J40" i="1" s="1"/>
  <c r="H40" i="1"/>
  <c r="E6" i="3"/>
  <c r="J31" i="1" s="1"/>
  <c r="H31" i="1"/>
  <c r="E17" i="3"/>
  <c r="J42" i="1" s="1"/>
  <c r="H42" i="1"/>
  <c r="E5" i="3"/>
  <c r="B13" i="1"/>
  <c r="H30" i="1"/>
  <c r="C22" i="1" l="1"/>
  <c r="J13" i="1"/>
  <c r="J30" i="1"/>
  <c r="F13" i="1"/>
  <c r="C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<sst xmlns="http://schemas.openxmlformats.org/spreadsheetml/2006/main" count="626" uniqueCount="218">
  <si>
    <t>ORDER &amp; UNIT RECONCILIATION  •  INDEPENDENT PORTFOLIO  •  SYNTHETIC DATA</t>
  </si>
  <si>
    <t>TOTAL ORDERS</t>
  </si>
  <si>
    <t>UNITS REQUIRED</t>
  </si>
  <si>
    <t>UNITS RECEIVED</t>
  </si>
  <si>
    <t>UNITS SHORT</t>
  </si>
  <si>
    <t>COMPLETE ORDERS</t>
  </si>
  <si>
    <t>INCOMPLETE ORDERS</t>
  </si>
  <si>
    <t>ORDER STATUS</t>
  </si>
  <si>
    <t>DATA QUALITY</t>
  </si>
  <si>
    <t>Status</t>
  </si>
  <si>
    <t>Orders</t>
  </si>
  <si>
    <t>Audit control</t>
  </si>
  <si>
    <t>Count</t>
  </si>
  <si>
    <t>Complete</t>
  </si>
  <si>
    <t>Duplicate SNs</t>
  </si>
  <si>
    <t>Incomplete</t>
  </si>
  <si>
    <t>Missing SNs</t>
  </si>
  <si>
    <t>Missing Order IDs</t>
  </si>
  <si>
    <t>Review records</t>
  </si>
  <si>
    <t>ORDER RECONCILIATION  |  REQUIRED VS RECEIVED</t>
  </si>
  <si>
    <t>Order ID</t>
  </si>
  <si>
    <t>Required</t>
  </si>
  <si>
    <t>Received</t>
  </si>
  <si>
    <t>Short</t>
  </si>
  <si>
    <t>Last Receipt</t>
  </si>
  <si>
    <t>Days Open</t>
  </si>
  <si>
    <t>Serial Number</t>
  </si>
  <si>
    <t>Product Model</t>
  </si>
  <si>
    <t>Received Date</t>
  </si>
  <si>
    <t>Batch ID</t>
  </si>
  <si>
    <t>Review State</t>
  </si>
  <si>
    <t>Duplicate Check</t>
  </si>
  <si>
    <t>DEMO-ORD-001</t>
  </si>
  <si>
    <t>DEMO-SN-800001</t>
  </si>
  <si>
    <t>DEMO-GAMMA</t>
  </si>
  <si>
    <t>BATCH-001</t>
  </si>
  <si>
    <t>Verified</t>
  </si>
  <si>
    <t>DEMO-SN-800002</t>
  </si>
  <si>
    <t>DEMO-DELTA</t>
  </si>
  <si>
    <t>DEMO-SN-800003</t>
  </si>
  <si>
    <t>DEMO-SN-800004</t>
  </si>
  <si>
    <t>DEMO-SN-800005</t>
  </si>
  <si>
    <t>DEMO-SN-800006</t>
  </si>
  <si>
    <t>DEMO-BETA</t>
  </si>
  <si>
    <t>DEMO-SN-800007</t>
  </si>
  <si>
    <t>DEMO-ALPHA</t>
  </si>
  <si>
    <t>DEMO-ORD-002</t>
  </si>
  <si>
    <t>DEMO-SN-800008</t>
  </si>
  <si>
    <t>BATCH-002</t>
  </si>
  <si>
    <t>DEMO-SN-800009</t>
  </si>
  <si>
    <t>DEMO-SN-800010</t>
  </si>
  <si>
    <t>DEMO-ORD-003</t>
  </si>
  <si>
    <t>DEMO-SN-800011</t>
  </si>
  <si>
    <t>BATCH-003</t>
  </si>
  <si>
    <t>DEMO-ORD-005</t>
  </si>
  <si>
    <t>DEMO-SN-800012</t>
  </si>
  <si>
    <t>BATCH-005</t>
  </si>
  <si>
    <t>DEMO-SN-800013</t>
  </si>
  <si>
    <t>DEMO-ORD-006</t>
  </si>
  <si>
    <t>DEMO-SN-800014</t>
  </si>
  <si>
    <t>BATCH-006</t>
  </si>
  <si>
    <t>DEMO-SN-800015</t>
  </si>
  <si>
    <t>DEMO-SN-800016</t>
  </si>
  <si>
    <t>DEMO-ORD-007</t>
  </si>
  <si>
    <t>DEMO-SN-800017</t>
  </si>
  <si>
    <t>BATCH-007</t>
  </si>
  <si>
    <t>DEMO-SN-800018</t>
  </si>
  <si>
    <t>DEMO-SN-800019</t>
  </si>
  <si>
    <t>DEMO-SN-800020</t>
  </si>
  <si>
    <t>DEMO-SN-800021</t>
  </si>
  <si>
    <t>DEMO-SN-800022</t>
  </si>
  <si>
    <t>DEMO-SN-800023</t>
  </si>
  <si>
    <t>DEMO-ORD-008</t>
  </si>
  <si>
    <t>DEMO-SN-800024</t>
  </si>
  <si>
    <t>BATCH-008</t>
  </si>
  <si>
    <t>DEMO-SN-800025</t>
  </si>
  <si>
    <t>DEMO-SN-800026</t>
  </si>
  <si>
    <t>DEMO-SN-800027</t>
  </si>
  <si>
    <t>DEMO-SN-800028</t>
  </si>
  <si>
    <t>DEMO-SN-800029</t>
  </si>
  <si>
    <t>DEMO-ORD-009</t>
  </si>
  <si>
    <t>DEMO-SN-800030</t>
  </si>
  <si>
    <t>BATCH-009</t>
  </si>
  <si>
    <t>DEMO-SN-800031</t>
  </si>
  <si>
    <t>DEMO-ORD-010</t>
  </si>
  <si>
    <t>DEMO-SN-800032</t>
  </si>
  <si>
    <t>BATCH-010</t>
  </si>
  <si>
    <t>DEMO-SN-800033</t>
  </si>
  <si>
    <t>DEMO-SN-800034</t>
  </si>
  <si>
    <t>DEMO-SN-800035</t>
  </si>
  <si>
    <t>DEMO-SN-800036</t>
  </si>
  <si>
    <t>DEMO-ORD-011</t>
  </si>
  <si>
    <t>DEMO-SN-800037</t>
  </si>
  <si>
    <t>BATCH-011</t>
  </si>
  <si>
    <t>DEMO-SN-800038</t>
  </si>
  <si>
    <t>DEMO-SN-800039</t>
  </si>
  <si>
    <t>DEMO-SN-800040</t>
  </si>
  <si>
    <t>DEMO-SN-800041</t>
  </si>
  <si>
    <t>DEMO-SN-800042</t>
  </si>
  <si>
    <t>DEMO-SN-800043</t>
  </si>
  <si>
    <t>DEMO-ORD-012</t>
  </si>
  <si>
    <t>DEMO-SN-800044</t>
  </si>
  <si>
    <t>BATCH-012</t>
  </si>
  <si>
    <t>DEMO-SN-800045</t>
  </si>
  <si>
    <t>DEMO-SN-800046</t>
  </si>
  <si>
    <t>DEMO-SN-800047</t>
  </si>
  <si>
    <t>DEMO-ORD-013</t>
  </si>
  <si>
    <t>DEMO-SN-800048</t>
  </si>
  <si>
    <t>BATCH-013</t>
  </si>
  <si>
    <t>DEMO-SN-800049</t>
  </si>
  <si>
    <t>DEMO-SN-800050</t>
  </si>
  <si>
    <t>DEMO-SN-800051</t>
  </si>
  <si>
    <t>DEMO-SN-800052</t>
  </si>
  <si>
    <t>DEMO-SN-800053</t>
  </si>
  <si>
    <t>DEMO-ORD-014</t>
  </si>
  <si>
    <t>DEMO-SN-800054</t>
  </si>
  <si>
    <t>BATCH-014</t>
  </si>
  <si>
    <t>DEMO-SN-800055</t>
  </si>
  <si>
    <t>DEMO-SN-800056</t>
  </si>
  <si>
    <t>DEMO-SN-800057</t>
  </si>
  <si>
    <t>DEMO-SN-800058</t>
  </si>
  <si>
    <t>DEMO-SN-800059</t>
  </si>
  <si>
    <t>DEMO-SN-800060</t>
  </si>
  <si>
    <t>DEMO-SN-800061</t>
  </si>
  <si>
    <t>DEMO-SN-800062</t>
  </si>
  <si>
    <t>DEMO-SN-800063</t>
  </si>
  <si>
    <t>DEMO-ORD-015</t>
  </si>
  <si>
    <t>DEMO-SN-800064</t>
  </si>
  <si>
    <t>BATCH-015</t>
  </si>
  <si>
    <t>DEMO-SN-800065</t>
  </si>
  <si>
    <t>DEMO-SN-800066</t>
  </si>
  <si>
    <t>DEMO-SN-800067</t>
  </si>
  <si>
    <t>DEMO-SN-800068</t>
  </si>
  <si>
    <t>DEMO-ORD-016</t>
  </si>
  <si>
    <t>DEMO-SN-800069</t>
  </si>
  <si>
    <t>BATCH-016</t>
  </si>
  <si>
    <t>DEMO-SN-800070</t>
  </si>
  <si>
    <t>DEMO-SN-800071</t>
  </si>
  <si>
    <t>DEMO-SN-800072</t>
  </si>
  <si>
    <t>DEMO-SN-800073</t>
  </si>
  <si>
    <t>DEMO-SN-800074</t>
  </si>
  <si>
    <t>DEMO-SN-800075</t>
  </si>
  <si>
    <t>DEMO-ORD-017</t>
  </si>
  <si>
    <t>DEMO-SN-800076</t>
  </si>
  <si>
    <t>BATCH-017</t>
  </si>
  <si>
    <t>DEMO-SN-800077</t>
  </si>
  <si>
    <t>DEMO-SN-800078</t>
  </si>
  <si>
    <t>DEMO-SN-800079</t>
  </si>
  <si>
    <t>DEMO-ORD-018</t>
  </si>
  <si>
    <t>DEMO-SN-800080</t>
  </si>
  <si>
    <t>BATCH-018</t>
  </si>
  <si>
    <t>DEMO-SN-800081</t>
  </si>
  <si>
    <t>DEMO-SN-800082</t>
  </si>
  <si>
    <t>DEMO-SN-800083</t>
  </si>
  <si>
    <t>DEMO-SN-800084</t>
  </si>
  <si>
    <t>DEMO-SN-800085</t>
  </si>
  <si>
    <t>DEMO-SN-800086</t>
  </si>
  <si>
    <t>DEMO-ORD-019</t>
  </si>
  <si>
    <t>DEMO-SN-800087</t>
  </si>
  <si>
    <t>BATCH-019</t>
  </si>
  <si>
    <t>DEMO-SN-800088</t>
  </si>
  <si>
    <t>DEMO-SN-800089</t>
  </si>
  <si>
    <t>DEMO-ORD-020</t>
  </si>
  <si>
    <t>DEMO-SN-800090</t>
  </si>
  <si>
    <t>BATCH-020</t>
  </si>
  <si>
    <t>DEMO-SN-800091</t>
  </si>
  <si>
    <t>DEMO-SN-800092</t>
  </si>
  <si>
    <t>DEMO-SN-800093</t>
  </si>
  <si>
    <t>DEMO-SN-800094</t>
  </si>
  <si>
    <t>DEMO-SN-800095</t>
  </si>
  <si>
    <t>DEMO-SN-800096</t>
  </si>
  <si>
    <t>DEMO-SN-800097</t>
  </si>
  <si>
    <t>DEMO-SN-800098</t>
  </si>
  <si>
    <t>DEMO-SN-800099</t>
  </si>
  <si>
    <t>BATCH-099</t>
  </si>
  <si>
    <t>Review</t>
  </si>
  <si>
    <t>ORDER SUMMARY  |  REQUIRED VS RECEIVED</t>
  </si>
  <si>
    <t>Required Units</t>
  </si>
  <si>
    <t>Received Units</t>
  </si>
  <si>
    <t>Units Short</t>
  </si>
  <si>
    <t>Completion</t>
  </si>
  <si>
    <t>Days Since Receipt</t>
  </si>
  <si>
    <t>DEMO-ORD-004</t>
  </si>
  <si>
    <t>AUDIT CHECKS  |  DATA QUALITY</t>
  </si>
  <si>
    <t>Control</t>
  </si>
  <si>
    <t>Result</t>
  </si>
  <si>
    <t>Duplicate serial rows</t>
  </si>
  <si>
    <t>Missing serial numbers</t>
  </si>
  <si>
    <t>Missing order IDs</t>
  </si>
  <si>
    <t>Records marked Review</t>
  </si>
  <si>
    <t>PROJECT GUIDE  |  SAFE PORTFOLIO EDITION</t>
  </si>
  <si>
    <t>Project</t>
  </si>
  <si>
    <t>Order &amp; Unit Reconciliation Dashboard</t>
  </si>
  <si>
    <t>Purpose</t>
  </si>
  <si>
    <t>Demonstrate spreadsheet-based traceability and data quality controls.</t>
  </si>
  <si>
    <t>Data policy</t>
  </si>
  <si>
    <t>All company names, order IDs, serial IDs, models, dates, and batches are fictional.</t>
  </si>
  <si>
    <t>Unit Register</t>
  </si>
  <si>
    <t>One row per received unit; formulas flag duplicate or missing serial IDs.</t>
  </si>
  <si>
    <t>Order Summary</t>
  </si>
  <si>
    <t>Required quantity compared with verified unique received units.</t>
  </si>
  <si>
    <t>Audit Checks</t>
  </si>
  <si>
    <t>Quality-control exceptions for manual review.</t>
  </si>
  <si>
    <t>Dashboard</t>
  </si>
  <si>
    <t>Formula-linked summary metrics; refreshes when spreadsheet recalculates.</t>
  </si>
  <si>
    <t>Limitations</t>
  </si>
  <si>
    <t>No ERP connection, no production deployment, no company endorsement.</t>
  </si>
  <si>
    <t>Usage</t>
  </si>
  <si>
    <t>Edit demo inputs only; maintain unique serial IDs and consistent order IDs.</t>
  </si>
  <si>
    <t>Portfolio note</t>
  </si>
  <si>
    <t>This is an independent demonstration built using synthetic data.</t>
  </si>
  <si>
    <t>UNIT REGISTER  | DEMO DATA</t>
  </si>
  <si>
    <t>ORDER TRACKING</t>
  </si>
  <si>
    <t>OCT,2.2026</t>
  </si>
  <si>
    <t>DEMO-SN-80095</t>
  </si>
  <si>
    <t>DOMO-ALPHA</t>
  </si>
  <si>
    <t>DEMO-SN-80099</t>
  </si>
  <si>
    <t>DEMO-SN-80100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</si>
</sst>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28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2"/>
      <color rgb="FFFFFFFF"/>
      <name val="Aptos Display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  <font>
      <b/>
      <sz val="16"/>
      <color rgb="FFFFFFFF"/>
      <name val="Aptos"/>
      <family val="2"/>
    </font>
    <font>
      <b/>
      <sz val="14"/>
      <name val="Aptos"/>
      <family val="2"/>
    </font>
    <font>
      <b/>
      <sz val="16"/>
      <name val="Aptos"/>
      <family val="2"/>
    </font>
    <font>
      <sz val="12"/>
      <name val="Aptos"/>
      <family val="2"/>
    </font>
    <font>
      <sz val="20"/>
      <color theme="3" tint="9.9978637043366805E-2"/>
      <name val="Aptos"/>
      <family val="2"/>
    </font>
    <font>
      <b/>
      <sz val="36"/>
      <color theme="3" tint="9.9978637043366805E-2"/>
      <name val="Aptos"/>
      <family val="2"/>
    </font>
    <font>
      <sz val="16"/>
      <name val="Aptos"/>
      <family val="2"/>
    </font>
    <font>
      <b/>
      <sz val="16"/>
      <color theme="4" tint="-0.499984740745262"/>
      <name val="Aptos"/>
      <family val="2"/>
    </font>
    <font>
      <sz val="14"/>
      <name val="Aptos"/>
      <family val="2"/>
    </font>
    <font>
      <sz val="11"/>
      <name val="Aptos Display"/>
      <family val="2"/>
    </font>
    <font>
      <sz val="12"/>
      <name val="Carlito"/>
    </font>
    <font>
      <b/>
      <sz val="12"/>
      <color rgb="FFFFFFFF"/>
      <name val="Carlito"/>
    </font>
    <font>
      <b/>
      <sz val="14"/>
      <color rgb="FFFFFFFF"/>
      <name val="Carlito"/>
    </font>
    <font>
      <sz val="14"/>
      <name val="Carlito"/>
    </font>
    <font>
      <b/>
      <sz val="36"/>
      <color rgb="FF14263D"/>
      <name val="Aptos"/>
      <family val="2"/>
    </font>
    <font>
      <b/>
      <sz val="36"/>
      <name val="Aptos"/>
      <family val="2"/>
    </font>
    <font>
      <b/>
      <sz val="18"/>
      <color theme="0"/>
      <name val="Aptos"/>
      <family val="2"/>
    </font>
    <font>
      <b/>
      <sz val="18"/>
      <color theme="0" tint="-4.9989318521683403E-2"/>
      <name val="Aptos"/>
      <family val="2"/>
    </font>
    <font>
      <b/>
      <sz val="16"/>
      <color theme="0"/>
      <name val="Aptos"/>
      <family val="2"/>
    </font>
    <font>
      <b/>
      <sz val="36"/>
      <color rgb="FFFFFFFF"/>
      <name val="Aptos"/>
      <family val="2"/>
    </font>
    <font>
      <b/>
      <sz val="16"/>
      <color rgb="FFFFFFFF"/>
      <name val="Carlito"/>
    </font>
    <font>
      <b/>
      <sz val="14"/>
      <color theme="0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rgb="FF13263E"/>
      </patternFill>
    </fill>
    <fill>
      <patternFill patternType="solid">
        <fgColor rgb="FF234361"/>
      </patternFill>
    </fill>
    <fill>
      <patternFill patternType="solid">
        <fgColor rgb="FF2C5F94"/>
      </patternFill>
    </fill>
    <fill>
      <patternFill patternType="solid">
        <fgColor rgb="FFEDF2F8"/>
      </patternFill>
    </fill>
    <fill>
      <patternFill patternType="solid">
        <fgColor rgb="FF15826B"/>
      </patternFill>
    </fill>
    <fill>
      <patternFill patternType="solid">
        <fgColor rgb="FFBA7432"/>
      </patternFill>
    </fill>
    <fill>
      <patternFill patternType="solid">
        <fgColor rgb="FFDCE7F2"/>
      </patternFill>
    </fill>
    <fill>
      <patternFill patternType="solid">
        <fgColor rgb="FFF1F5FA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7F9F5"/>
        <bgColor indexed="64"/>
      </patternFill>
    </fill>
    <fill>
      <patternFill patternType="solid">
        <fgColor rgb="FFF45656"/>
        <bgColor indexed="64"/>
      </patternFill>
    </fill>
    <fill>
      <patternFill patternType="solid">
        <fgColor rgb="FFFAEEE6"/>
        <bgColor indexed="64"/>
      </patternFill>
    </fill>
    <fill>
      <patternFill patternType="solid">
        <fgColor rgb="FFFEEAE8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" fontId="0" fillId="0" borderId="0" xfId="0" applyNumberFormat="1"/>
    <xf numFmtId="0" fontId="5" fillId="0" borderId="0" xfId="0" applyFont="1"/>
    <xf numFmtId="0" fontId="5" fillId="11" borderId="0" xfId="0" applyFont="1" applyFill="1"/>
    <xf numFmtId="0" fontId="7" fillId="0" borderId="0" xfId="0" applyFont="1"/>
    <xf numFmtId="0" fontId="8" fillId="0" borderId="0" xfId="0" applyFont="1" applyAlignment="1">
      <alignment horizontal="left"/>
    </xf>
    <xf numFmtId="0" fontId="8" fillId="11" borderId="0" xfId="0" applyFont="1" applyFill="1" applyAlignment="1">
      <alignment horizontal="left"/>
    </xf>
    <xf numFmtId="0" fontId="9" fillId="9" borderId="0" xfId="0" applyFont="1" applyFill="1"/>
    <xf numFmtId="0" fontId="9" fillId="0" borderId="0" xfId="0" applyFont="1"/>
    <xf numFmtId="0" fontId="9" fillId="11" borderId="0" xfId="0" applyFont="1" applyFill="1"/>
    <xf numFmtId="0" fontId="9" fillId="10" borderId="0" xfId="0" applyFont="1" applyFill="1"/>
    <xf numFmtId="0" fontId="5" fillId="12" borderId="0" xfId="0" applyFont="1" applyFill="1"/>
    <xf numFmtId="0" fontId="10" fillId="0" borderId="0" xfId="0" applyFont="1"/>
    <xf numFmtId="0" fontId="11" fillId="11" borderId="0" xfId="0" applyFont="1" applyFill="1"/>
    <xf numFmtId="0" fontId="12" fillId="8" borderId="0" xfId="0" applyFont="1" applyFill="1"/>
    <xf numFmtId="0" fontId="12" fillId="0" borderId="0" xfId="0" applyFont="1"/>
    <xf numFmtId="0" fontId="12" fillId="11" borderId="0" xfId="0" applyFont="1" applyFill="1"/>
    <xf numFmtId="0" fontId="14" fillId="9" borderId="0" xfId="0" applyFont="1" applyFill="1"/>
    <xf numFmtId="0" fontId="14" fillId="0" borderId="0" xfId="0" applyFont="1"/>
    <xf numFmtId="164" fontId="14" fillId="9" borderId="0" xfId="0" applyNumberFormat="1" applyFont="1" applyFill="1"/>
    <xf numFmtId="0" fontId="14" fillId="10" borderId="0" xfId="0" applyFont="1" applyFill="1"/>
    <xf numFmtId="164" fontId="14" fillId="10" borderId="0" xfId="0" applyNumberFormat="1" applyFont="1" applyFill="1"/>
    <xf numFmtId="0" fontId="0" fillId="15" borderId="0" xfId="0" applyFill="1"/>
    <xf numFmtId="0" fontId="17" fillId="3" borderId="0" xfId="0" applyFont="1" applyFill="1"/>
    <xf numFmtId="0" fontId="16" fillId="0" borderId="0" xfId="0" applyFont="1"/>
    <xf numFmtId="0" fontId="18" fillId="3" borderId="0" xfId="0" applyFont="1" applyFill="1"/>
    <xf numFmtId="0" fontId="19" fillId="0" borderId="0" xfId="0" applyFont="1"/>
    <xf numFmtId="0" fontId="21" fillId="11" borderId="0" xfId="0" applyFont="1" applyFill="1"/>
    <xf numFmtId="0" fontId="22" fillId="11" borderId="0" xfId="0" applyFont="1" applyFill="1"/>
    <xf numFmtId="0" fontId="22" fillId="0" borderId="0" xfId="0" applyFont="1"/>
    <xf numFmtId="0" fontId="23" fillId="11" borderId="0" xfId="0" applyFont="1" applyFill="1"/>
    <xf numFmtId="0" fontId="23" fillId="0" borderId="0" xfId="0" applyFont="1"/>
    <xf numFmtId="0" fontId="13" fillId="0" borderId="0" xfId="0" applyFont="1" applyAlignment="1">
      <alignment horizontal="center"/>
    </xf>
    <xf numFmtId="0" fontId="24" fillId="20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3" fillId="1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13" borderId="0" xfId="0" applyFont="1" applyFill="1" applyAlignment="1">
      <alignment horizontal="center"/>
    </xf>
    <xf numFmtId="0" fontId="26" fillId="13" borderId="0" xfId="0" applyFont="1" applyFill="1" applyAlignment="1">
      <alignment horizontal="center"/>
    </xf>
    <xf numFmtId="0" fontId="27" fillId="12" borderId="0" xfId="0" applyFont="1" applyFill="1"/>
    <xf numFmtId="0" fontId="6" fillId="2" borderId="0" xfId="0" applyFont="1" applyFill="1" applyAlignment="1">
      <alignment horizontal="left"/>
    </xf>
    <xf numFmtId="0" fontId="4" fillId="2" borderId="0" xfId="0" applyFont="1" applyFill="1"/>
    <xf numFmtId="0" fontId="22" fillId="7" borderId="0" xfId="0" applyFont="1" applyFill="1" applyAlignment="1">
      <alignment horizontal="center"/>
    </xf>
    <xf numFmtId="0" fontId="11" fillId="18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/>
    </xf>
    <xf numFmtId="0" fontId="11" fillId="16" borderId="0" xfId="0" applyFont="1" applyFill="1" applyAlignment="1">
      <alignment horizontal="center" vertical="center"/>
    </xf>
    <xf numFmtId="0" fontId="22" fillId="17" borderId="0" xfId="0" applyFont="1" applyFill="1" applyAlignment="1">
      <alignment horizontal="center"/>
    </xf>
    <xf numFmtId="0" fontId="11" fillId="19" borderId="0" xfId="0" applyFont="1" applyFill="1" applyAlignment="1">
      <alignment horizontal="center" vertical="center"/>
    </xf>
    <xf numFmtId="0" fontId="25" fillId="12" borderId="0" xfId="0" applyFont="1" applyFill="1" applyAlignment="1">
      <alignment vertical="center"/>
    </xf>
    <xf numFmtId="0" fontId="5" fillId="12" borderId="0" xfId="0" applyFont="1" applyFill="1"/>
    <xf numFmtId="0" fontId="27" fillId="12" borderId="0" xfId="0" applyFont="1" applyFill="1"/>
    <xf numFmtId="0" fontId="23" fillId="4" borderId="0" xfId="0" applyFont="1" applyFill="1" applyAlignment="1">
      <alignment horizontal="center"/>
    </xf>
    <xf numFmtId="0" fontId="20" fillId="5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/>
    </xf>
  </cellXfs>
  <cellStyles count="1">
    <cellStyle name="Normal" xfId="0" builtinId="0"/>
  </cellStyles>
  <dxfs count="34">
    <dxf>
      <numFmt numFmtId="1" formatCode="0"/>
    </dxf>
    <dxf>
      <numFmt numFmtId="164" formatCode="mmm\ 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rlito"/>
        <scheme val="none"/>
      </font>
      <fill>
        <patternFill patternType="solid">
          <fgColor indexed="64"/>
          <bgColor rgb="FF23436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numFmt numFmtId="164" formatCode="mmm\ d\,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"/>
        <family val="2"/>
        <scheme val="none"/>
      </font>
      <numFmt numFmtId="164" formatCode="mmm\ d\,\ yyyy"/>
      <fill>
        <patternFill patternType="solid">
          <fgColor indexed="64"/>
          <bgColor rgb="FFF1F5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solid">
          <fgColor indexed="64"/>
          <bgColor rgb="FFF1F5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34361"/>
        </patternFill>
      </fill>
    </dxf>
  </dxfs>
  <tableStyles count="0" defaultTableStyle="TableStyleMedium2" defaultPivotStyle="PivotStyleLight16"/>
  <colors>
    <mruColors>
      <color rgb="FF659F6B"/>
      <color rgb="FFB2B2B6"/>
      <color rgb="FFFEEAE8"/>
      <color rgb="FFFAEEE6"/>
      <color rgb="FFFEDDDA"/>
      <color rgb="FFF45656"/>
      <color rgb="FFE7F9F5"/>
      <color rgb="FFF9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Order completion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3"/>
          <c:order val="0"/>
          <c:tx>
            <c:v>Orders</c:v>
          </c:tx>
          <c:cat>
            <c:strRef>
              <c:f>Dashboard!$B$21:$B$22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799-4DCF-AE46-F92E852A4F28}"/>
            </c:ext>
          </c:extLst>
        </c:ser>
        <c:ser>
          <c:idx val="4"/>
          <c:order val="1"/>
          <c:tx>
            <c:v>Orders</c:v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799-4DCF-AE46-F92E852A4F2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799-4DCF-AE46-F92E852A4F28}"/>
              </c:ext>
            </c:extLst>
          </c:dPt>
          <c:cat>
            <c:strRef>
              <c:f>Dashboard!$B$21:$B$22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799-4DCF-AE46-F92E852A4F28}"/>
            </c:ext>
          </c:extLst>
        </c:ser>
        <c:ser>
          <c:idx val="5"/>
          <c:order val="2"/>
          <c:tx>
            <c:v>Orders</c:v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799-4DCF-AE46-F92E852A4F2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799-4DCF-AE46-F92E852A4F28}"/>
              </c:ext>
            </c:extLst>
          </c:dPt>
          <c:cat>
            <c:strRef>
              <c:f>Dashboard!$B$21:$B$22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799-4DCF-AE46-F92E852A4F28}"/>
            </c:ext>
          </c:extLst>
        </c:ser>
        <c:ser>
          <c:idx val="1"/>
          <c:order val="3"/>
          <c:tx>
            <c:v>Orders</c:v>
          </c:tx>
          <c:cat>
            <c:strRef>
              <c:f>Dashboard!$B$21:$B$22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799-4DCF-AE46-F92E852A4F28}"/>
            </c:ext>
          </c:extLst>
        </c:ser>
        <c:ser>
          <c:idx val="2"/>
          <c:order val="4"/>
          <c:tx>
            <c:v>Orders</c:v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799-4DCF-AE46-F92E852A4F2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799-4DCF-AE46-F92E852A4F28}"/>
              </c:ext>
            </c:extLst>
          </c:dPt>
          <c:cat>
            <c:strRef>
              <c:f>Dashboard!$B$21:$B$22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799-4DCF-AE46-F92E852A4F28}"/>
            </c:ext>
          </c:extLst>
        </c:ser>
        <c:ser>
          <c:idx val="0"/>
          <c:order val="5"/>
          <c:tx>
            <c:v>Orders</c:v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799-4DCF-AE46-F92E852A4F2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799-4DCF-AE46-F92E852A4F28}"/>
              </c:ext>
            </c:extLst>
          </c:dPt>
          <c:cat>
            <c:strRef>
              <c:f>Dashboard!$B$21:$B$22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799-4DCF-AE46-F92E852A4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Order completion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25-4BBD-BE11-E6423600AB2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25-4BBD-BE11-E6423600AB2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3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3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25-4BBD-BE11-E6423600AB2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4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4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25-4BBD-BE11-E6423600AB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'Audit Checks'!$A$5:$A$8</c:f>
              <c:strCache>
                <c:ptCount val="4"/>
                <c:pt idx="0">
                  <c:v>Duplicate serial rows</c:v>
                </c:pt>
                <c:pt idx="1">
                  <c:v>Missing serial numbers</c:v>
                </c:pt>
                <c:pt idx="2">
                  <c:v>Missing order IDs</c:v>
                </c:pt>
                <c:pt idx="3">
                  <c:v>Records marked Review</c:v>
                </c:pt>
              </c:strCache>
            </c:strRef>
          </c:cat>
          <c:val>
            <c:numRef>
              <c:f>'Audit Checks'!$B$5:$B$8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C-4551-BBCC-B9AC16548C4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170619144119755E-2"/>
          <c:y val="0.82553114502662472"/>
          <c:w val="0.92182929491377441"/>
          <c:h val="0.1538927232861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26595</xdr:colOff>
      <xdr:row>18</xdr:row>
      <xdr:rowOff>0</xdr:rowOff>
    </xdr:from>
    <xdr:to>
      <xdr:col>7</xdr:col>
      <xdr:colOff>2634876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23535</xdr:colOff>
      <xdr:row>4</xdr:row>
      <xdr:rowOff>109637</xdr:rowOff>
    </xdr:from>
    <xdr:to>
      <xdr:col>14</xdr:col>
      <xdr:colOff>5603546</xdr:colOff>
      <xdr:row>16</xdr:row>
      <xdr:rowOff>29425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ECC9ED0-1D16-4805-B9B7-6AA2C0B58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1241778</xdr:colOff>
      <xdr:row>0</xdr:row>
      <xdr:rowOff>155222</xdr:rowOff>
    </xdr:from>
    <xdr:to>
      <xdr:col>9</xdr:col>
      <xdr:colOff>889000</xdr:colOff>
      <xdr:row>3</xdr:row>
      <xdr:rowOff>183444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EACFCEF-F3C0-D4AD-C262-4FB5D7AC4816}"/>
            </a:ext>
          </a:extLst>
        </xdr:cNvPr>
        <xdr:cNvSpPr/>
      </xdr:nvSpPr>
      <xdr:spPr>
        <a:xfrm>
          <a:off x="8946445" y="155222"/>
          <a:ext cx="2398888" cy="832555"/>
        </a:xfrm>
        <a:prstGeom prst="roundRect">
          <a:avLst/>
        </a:prstGeom>
        <a:gradFill flip="none" rotWithShape="1">
          <a:gsLst>
            <a:gs pos="0">
              <a:srgbClr val="659F6B">
                <a:shade val="30000"/>
                <a:satMod val="115000"/>
              </a:srgbClr>
            </a:gs>
            <a:gs pos="50000">
              <a:srgbClr val="659F6B">
                <a:shade val="67500"/>
                <a:satMod val="115000"/>
              </a:srgbClr>
            </a:gs>
            <a:gs pos="100000">
              <a:srgbClr val="659F6B">
                <a:shade val="100000"/>
                <a:satMod val="115000"/>
              </a:srgbClr>
            </a:gs>
          </a:gsLst>
          <a:lin ang="16200000" scaled="1"/>
          <a:tileRect/>
        </a:gradFill>
        <a:ln w="9525">
          <a:solidFill>
            <a:schemeClr val="bg1"/>
          </a:solidFill>
          <a:headEnd type="none" w="med" len="med"/>
          <a:tailEnd type="none" w="med" len="med"/>
        </a:ln>
        <a:effectLst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1337737</xdr:colOff>
      <xdr:row>0</xdr:row>
      <xdr:rowOff>124178</xdr:rowOff>
    </xdr:from>
    <xdr:to>
      <xdr:col>10</xdr:col>
      <xdr:colOff>600808</xdr:colOff>
      <xdr:row>3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E2B44CC-492D-422A-8B2D-8F3853DA5DED}"/>
            </a:ext>
          </a:extLst>
        </xdr:cNvPr>
        <xdr:cNvSpPr/>
      </xdr:nvSpPr>
      <xdr:spPr>
        <a:xfrm>
          <a:off x="13309929" y="124178"/>
          <a:ext cx="2486917" cy="819530"/>
        </a:xfrm>
        <a:prstGeom prst="roundRect">
          <a:avLst/>
        </a:prstGeom>
        <a:gradFill flip="none" rotWithShape="1">
          <a:gsLst>
            <a:gs pos="0">
              <a:schemeClr val="tx2">
                <a:lumMod val="50000"/>
                <a:lumOff val="50000"/>
                <a:shade val="30000"/>
                <a:satMod val="115000"/>
              </a:schemeClr>
            </a:gs>
            <a:gs pos="50000">
              <a:schemeClr val="tx2">
                <a:lumMod val="50000"/>
                <a:lumOff val="50000"/>
                <a:shade val="67500"/>
                <a:satMod val="115000"/>
              </a:schemeClr>
            </a:gs>
            <a:gs pos="100000">
              <a:schemeClr val="tx2">
                <a:lumMod val="50000"/>
                <a:lumOff val="50000"/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 w="19050">
          <a:solidFill>
            <a:schemeClr val="bg1"/>
          </a:solidFill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994075</xdr:colOff>
      <xdr:row>0</xdr:row>
      <xdr:rowOff>135468</xdr:rowOff>
    </xdr:from>
    <xdr:to>
      <xdr:col>11</xdr:col>
      <xdr:colOff>1992923</xdr:colOff>
      <xdr:row>3</xdr:row>
      <xdr:rowOff>163690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6D0F560-76E9-4927-8AC1-CD6EBE62D79E}"/>
            </a:ext>
          </a:extLst>
        </xdr:cNvPr>
        <xdr:cNvSpPr/>
      </xdr:nvSpPr>
      <xdr:spPr>
        <a:xfrm>
          <a:off x="16190113" y="135468"/>
          <a:ext cx="2508195" cy="819530"/>
        </a:xfrm>
        <a:prstGeom prst="roundRect">
          <a:avLst/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8100000" scaled="1"/>
          <a:tileRect/>
        </a:gradFill>
        <a:ln w="19050">
          <a:solidFill>
            <a:schemeClr val="bg1"/>
          </a:solidFill>
          <a:headEnd type="none" w="med" len="med"/>
          <a:tailEnd type="none" w="med" len="med"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2387703</xdr:colOff>
      <xdr:row>0</xdr:row>
      <xdr:rowOff>146758</xdr:rowOff>
    </xdr:from>
    <xdr:to>
      <xdr:col>13</xdr:col>
      <xdr:colOff>2095500</xdr:colOff>
      <xdr:row>3</xdr:row>
      <xdr:rowOff>174980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A31A3D7-5667-422E-A1F0-B2B8C6817CED}"/>
            </a:ext>
          </a:extLst>
        </xdr:cNvPr>
        <xdr:cNvSpPr/>
      </xdr:nvSpPr>
      <xdr:spPr>
        <a:xfrm>
          <a:off x="19093088" y="146758"/>
          <a:ext cx="2594604" cy="819530"/>
        </a:xfrm>
        <a:prstGeom prst="roundRect">
          <a:avLst/>
        </a:prstGeom>
        <a:gradFill flip="none" rotWithShape="1">
          <a:gsLst>
            <a:gs pos="0">
              <a:srgbClr val="B2B2B6">
                <a:shade val="30000"/>
                <a:satMod val="115000"/>
              </a:srgbClr>
            </a:gs>
            <a:gs pos="50000">
              <a:srgbClr val="B2B2B6">
                <a:shade val="67500"/>
                <a:satMod val="115000"/>
              </a:srgbClr>
            </a:gs>
            <a:gs pos="100000">
              <a:srgbClr val="B2B2B6">
                <a:shade val="100000"/>
                <a:satMod val="115000"/>
              </a:srgbClr>
            </a:gs>
          </a:gsLst>
          <a:path path="circle">
            <a:fillToRect t="100000" r="100000"/>
          </a:path>
          <a:tileRect l="-100000" b="-100000"/>
        </a:gradFill>
        <a:ln>
          <a:solidFill>
            <a:schemeClr val="bg1">
              <a:lumMod val="95000"/>
            </a:schemeClr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115890</xdr:colOff>
      <xdr:row>2</xdr:row>
      <xdr:rowOff>171060</xdr:rowOff>
    </xdr:from>
    <xdr:to>
      <xdr:col>6</xdr:col>
      <xdr:colOff>142560</xdr:colOff>
      <xdr:row>23</xdr:row>
      <xdr:rowOff>65640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E014A-2904-89B6-0D43-BF870909C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E2D8A3-9C3B-49BE-846D-550937EADFD6}" name="Table4" displayName="Table4" ref="B29:B44" totalsRowShown="0" headerRowDxfId="32" dataDxfId="31">
  <autoFilter ref="B29:B44" xr:uid="{0CE2D8A3-9C3B-49BE-846D-550937EADFD6}"/>
  <tableColumns count="1">
    <tableColumn id="1" xr3:uid="{9AA4C9A3-7C6A-42DC-9AC4-F0E4AA71F97D}" name="Order ID" dataDxfId="30">
      <calculatedColumnFormula>'Order Summary'!A5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35A57A-76C7-40E2-A0C7-E02563B46B3A}" name="Table5" displayName="Table5" ref="D29:D44" totalsRowShown="0" headerRowDxfId="29" dataDxfId="28">
  <autoFilter ref="D29:D44" xr:uid="{8635A57A-76C7-40E2-A0C7-E02563B46B3A}"/>
  <tableColumns count="1">
    <tableColumn id="1" xr3:uid="{86EAFEBE-5E5A-4B3F-A25C-D1877C67953B}" name="Required" dataDxfId="27">
      <calculatedColumnFormula>'Order Summary'!B5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83ACBE-8DF7-4508-A9D0-666D28EFE35B}" name="Table6" displayName="Table6" ref="F29:F44" totalsRowShown="0" headerRowDxfId="26" dataDxfId="25">
  <autoFilter ref="F29:F44" xr:uid="{1D83ACBE-8DF7-4508-A9D0-666D28EFE35B}"/>
  <tableColumns count="1">
    <tableColumn id="1" xr3:uid="{90F3F217-9D4A-4702-A9C1-D6EE996487A1}" name="Received" dataDxfId="24">
      <calculatedColumnFormula>'Order Summary'!C5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AFF0AB-7F6E-4377-AF4F-9451611A04E0}" name="Table7" displayName="Table7" ref="H29:H44" totalsRowShown="0" headerRowDxfId="23" dataDxfId="22">
  <autoFilter ref="H29:H44" xr:uid="{6FAFF0AB-7F6E-4377-AF4F-9451611A04E0}"/>
  <tableColumns count="1">
    <tableColumn id="1" xr3:uid="{982827D6-F637-4BAA-8B38-D7C5DBFAA20A}" name="Short" dataDxfId="21">
      <calculatedColumnFormula>'Order Summary'!D5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040F85-0E2B-4877-9B81-C73F634A981B}" name="Table8" displayName="Table8" ref="J29:J44" totalsRowShown="0" headerRowDxfId="20" dataDxfId="19">
  <autoFilter ref="J29:J44" xr:uid="{22040F85-0E2B-4877-9B81-C73F634A981B}"/>
  <tableColumns count="1">
    <tableColumn id="1" xr3:uid="{DE91F35C-2ECF-47CF-9CF0-2075F7DC1C70}" name="Status" dataDxfId="18">
      <calculatedColumnFormula>'Order Summary'!E5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24E75E-4148-49CD-8110-0A175AEEA476}" name="Table9" displayName="Table9" ref="L29:L44" totalsRowShown="0" headerRowDxfId="17" dataDxfId="16">
  <autoFilter ref="L29:L44" xr:uid="{6724E75E-4148-49CD-8110-0A175AEEA476}"/>
  <tableColumns count="1">
    <tableColumn id="1" xr3:uid="{6165F455-BB68-469E-9D0B-E74616C3E13C}" name="Last Receipt" dataDxfId="15">
      <calculatedColumnFormula>'Order Summary'!F5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C248BE-B17F-4815-9C16-F1A45AE9A1F9}" name="Table10" displayName="Table10" ref="N29:N44" totalsRowShown="0" headerRowDxfId="14" dataDxfId="13">
  <autoFilter ref="N29:N44" xr:uid="{5AC248BE-B17F-4815-9C16-F1A45AE9A1F9}"/>
  <tableColumns count="1">
    <tableColumn id="1" xr3:uid="{5922AF9F-5B79-433F-9AB6-58961092B225}" name="Days Open" dataDxfId="12">
      <calculatedColumnFormula>'Order Summary'!G5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FEEAAC-7F44-4DD7-88EE-CD0A3569AE0E}" name="Table11" displayName="Table11" ref="A4:G107" totalsRowShown="0" headerRowDxfId="11" dataDxfId="10">
  <autoFilter ref="A4:G107" xr:uid="{E3FEEAAC-7F44-4DD7-88EE-CD0A3569AE0E}"/>
  <tableColumns count="7">
    <tableColumn id="1" xr3:uid="{7D4DF01E-FBB4-4282-8324-EDF7C7BD4AFA}" name="Order ID" dataDxfId="9"/>
    <tableColumn id="2" xr3:uid="{34319D44-446A-4AEA-BDD9-F6E3C7645240}" name="Serial Number" dataDxfId="8"/>
    <tableColumn id="3" xr3:uid="{703E9DF1-CDF8-4263-8A01-AD7782EBBD97}" name="Product Model" dataDxfId="7"/>
    <tableColumn id="4" xr3:uid="{8C5EB355-A8C4-4CEA-B770-BB3219AF150B}" name="Received Date" dataDxfId="6"/>
    <tableColumn id="5" xr3:uid="{D9816203-9D4B-40E9-AF47-F8271E736DA4}" name="Batch ID" dataDxfId="5"/>
    <tableColumn id="6" xr3:uid="{3AD8DF66-5D4D-440E-8F3D-606B2BCF8C64}" name="Review State" dataDxfId="4"/>
    <tableColumn id="7" xr3:uid="{2194F741-93B3-406F-8B89-3BE2F41138DA}" name="Duplicate Check" dataDxfId="3">
      <calculatedColumnFormula>IF(B5="","MISSING SN",IF(COUNTIF($B$5:$B$500,B5)&gt;1,"DUPLICATE","OK"))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8A2659-F304-42CC-873B-C914AC8FC424}" name="Table12" displayName="Table12" ref="A4:G24" totalsRowShown="0" headerRowDxfId="2">
  <autoFilter ref="A4:G24" xr:uid="{F98A2659-F304-42CC-873B-C914AC8FC424}"/>
  <tableColumns count="7">
    <tableColumn id="1" xr3:uid="{35A8FB6D-82A5-4A8C-AA17-928AD9F8A413}" name="Order ID"/>
    <tableColumn id="2" xr3:uid="{2CA61347-FFEC-4FB6-9CB2-19EF530AA431}" name="Required Units"/>
    <tableColumn id="3" xr3:uid="{36D07AC3-6801-49BA-8867-A3E5DF02E0FC}" name="Received Units">
      <calculatedColumnFormula>COUNTIFS('Unit Register'!$A$5:$A$500,A5,'Unit Register'!$G$5:$G$500,"OK")</calculatedColumnFormula>
    </tableColumn>
    <tableColumn id="4" xr3:uid="{50BEA03A-0CD5-402C-B36C-00CC36F21CF0}" name="Units Short">
      <calculatedColumnFormula>MAX(0,B5-C5)</calculatedColumnFormula>
    </tableColumn>
    <tableColumn id="5" xr3:uid="{F8570A8A-FC57-4BC3-A9CE-BF1283E26159}" name="Completion">
      <calculatedColumnFormula>IF(D5=0,"Complete","Incomplete")</calculatedColumnFormula>
    </tableColumn>
    <tableColumn id="6" xr3:uid="{0FFE7632-0F9C-4C4A-B099-B80EDD08673C}" name="Last Receipt" dataDxfId="1">
      <calculatedColumnFormula>IFERROR(_xlfn.MAXIFS('Unit Register'!$D$5:$D$500,'Unit Register'!$A$5:$A$500,A5),"")</calculatedColumnFormula>
    </tableColumn>
    <tableColumn id="7" xr3:uid="{F2A4B9F2-2FDA-4B0D-985D-672537CFCCA2}" name="Days Since Receipt" dataDxfId="0">
      <calculatedColumnFormula>IF(F5="","",TODAY()-F5)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E6A340-FC06-4BB2-B926-622C0D7C2F59}" name="Table14" displayName="Table14" ref="A4:B8" totalsRowShown="0" headerRowDxfId="33">
  <autoFilter ref="A4:B8" xr:uid="{FFE6A340-FC06-4BB2-B926-622C0D7C2F59}"/>
  <tableColumns count="2">
    <tableColumn id="1" xr3:uid="{BA14FC24-55DC-4BB8-A391-CA11F4986B88}" name="Control"/>
    <tableColumn id="2" xr3:uid="{20227B58-9101-44D8-B08F-C09B61BEAC95}" name="Resul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5"/>
  <sheetViews>
    <sheetView zoomScale="58" zoomScaleNormal="74" workbookViewId="0">
      <pane ySplit="4" topLeftCell="A6" activePane="bottomLeft" state="frozen"/>
      <selection pane="bottomLeft" activeCell="B2" sqref="B2:O3"/>
    </sheetView>
  </sheetViews>
  <sheetFormatPr defaultRowHeight="14.4"/>
  <cols>
    <col min="1" max="1" width="3" style="5" customWidth="1"/>
    <col min="2" max="2" width="47.3984375" style="5" customWidth="1"/>
    <col min="3" max="3" width="11.8984375" style="5" customWidth="1"/>
    <col min="4" max="4" width="26.09765625" style="5" customWidth="1"/>
    <col min="5" max="5" width="1.09765625" style="6" customWidth="1"/>
    <col min="6" max="6" width="28" style="5" customWidth="1"/>
    <col min="7" max="7" width="3.296875" style="5" customWidth="1"/>
    <col min="8" max="8" width="34.59765625" style="5" customWidth="1"/>
    <col min="9" max="9" width="1" style="6" customWidth="1"/>
    <col min="10" max="10" width="42.3984375" style="5" customWidth="1"/>
    <col min="11" max="11" width="19.796875" style="5" customWidth="1"/>
    <col min="12" max="12" width="37.19921875" style="5" customWidth="1"/>
    <col min="13" max="13" width="0.69921875" style="5" customWidth="1"/>
    <col min="14" max="14" width="62" style="5" customWidth="1"/>
    <col min="15" max="15" width="74.3984375" style="5" customWidth="1"/>
    <col min="16" max="16" width="3" style="5" customWidth="1"/>
    <col min="17" max="16384" width="8.796875" style="5"/>
  </cols>
  <sheetData>
    <row r="1" spans="2:15" s="14" customFormat="1">
      <c r="M1" s="5"/>
    </row>
    <row r="2" spans="2:15" s="14" customFormat="1" ht="25.05" customHeight="1">
      <c r="B2" s="56" t="s">
        <v>212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2:15" s="14" customFormat="1" ht="25.05" customHeight="1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2:15" s="47" customFormat="1" ht="24.6" customHeight="1">
      <c r="B4" s="58" t="s">
        <v>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7" spans="2:15" s="34" customFormat="1" ht="25.95" customHeight="1">
      <c r="B7" s="59" t="s">
        <v>1</v>
      </c>
      <c r="C7" s="59" t="s">
        <v>1</v>
      </c>
      <c r="D7" s="59" t="s">
        <v>1</v>
      </c>
      <c r="E7" s="33"/>
      <c r="F7" s="59" t="s">
        <v>2</v>
      </c>
      <c r="G7" s="59" t="s">
        <v>2</v>
      </c>
      <c r="H7" s="59" t="s">
        <v>2</v>
      </c>
      <c r="I7" s="33"/>
      <c r="J7" s="61" t="s">
        <v>3</v>
      </c>
      <c r="K7" s="61" t="s">
        <v>3</v>
      </c>
      <c r="L7" s="61" t="s">
        <v>3</v>
      </c>
    </row>
    <row r="8" spans="2:15" ht="25.05" customHeight="1">
      <c r="B8" s="60">
        <f>COUNTA('Order Summary'!A5:A24)</f>
        <v>20</v>
      </c>
      <c r="C8" s="60"/>
      <c r="D8" s="60"/>
      <c r="E8" s="30"/>
      <c r="F8" s="60">
        <f>SUM('Order Summary'!B5:B24)</f>
        <v>139</v>
      </c>
      <c r="G8" s="60"/>
      <c r="H8" s="60"/>
      <c r="I8" s="30"/>
      <c r="J8" s="60">
        <f>SUM('Order Summary'!C5:C24)</f>
        <v>99</v>
      </c>
      <c r="K8" s="60"/>
      <c r="L8" s="60"/>
    </row>
    <row r="9" spans="2:15" ht="25.05" customHeight="1">
      <c r="B9" s="60"/>
      <c r="C9" s="60"/>
      <c r="D9" s="60"/>
      <c r="E9" s="30"/>
      <c r="F9" s="60"/>
      <c r="G9" s="60"/>
      <c r="H9" s="60"/>
      <c r="I9" s="30"/>
      <c r="J9" s="60"/>
      <c r="K9" s="60"/>
      <c r="L9" s="60"/>
      <c r="O9" s="5" t="str" cm="1">
        <f t="array" ref="O9">IF(B19="","",_xlfn._xlws.FILTER('Unit Register'!A2:E1000,(ISNUMBER(SEARCH(B19,'Unit Register'!A2:A1000))+ISNUMBER(SEARCH(B19,'Unit Register'!B2:B1000)))&gt;0,"No matching records"))</f>
        <v/>
      </c>
    </row>
    <row r="10" spans="2:15" ht="25.05" customHeight="1">
      <c r="B10" s="60"/>
      <c r="C10" s="60"/>
      <c r="D10" s="60"/>
      <c r="E10" s="30"/>
      <c r="F10" s="60"/>
      <c r="G10" s="60"/>
      <c r="H10" s="60"/>
      <c r="I10" s="30"/>
      <c r="J10" s="60"/>
      <c r="K10" s="60"/>
      <c r="L10" s="60"/>
    </row>
    <row r="12" spans="2:15" s="32" customFormat="1" ht="25.95" customHeight="1">
      <c r="B12" s="50" t="s">
        <v>4</v>
      </c>
      <c r="C12" s="50" t="s">
        <v>4</v>
      </c>
      <c r="D12" s="50" t="s">
        <v>4</v>
      </c>
      <c r="E12" s="31"/>
      <c r="F12" s="52" t="s">
        <v>5</v>
      </c>
      <c r="G12" s="52" t="s">
        <v>5</v>
      </c>
      <c r="H12" s="52" t="s">
        <v>5</v>
      </c>
      <c r="I12" s="31"/>
      <c r="J12" s="54" t="s">
        <v>6</v>
      </c>
      <c r="K12" s="54" t="s">
        <v>6</v>
      </c>
      <c r="L12" s="54" t="s">
        <v>6</v>
      </c>
    </row>
    <row r="13" spans="2:15" s="15" customFormat="1" ht="24.6" customHeight="1">
      <c r="B13" s="51">
        <f>SUM('Order Summary'!D5:D24)</f>
        <v>40</v>
      </c>
      <c r="C13" s="51"/>
      <c r="D13" s="51"/>
      <c r="E13" s="16"/>
      <c r="F13" s="53">
        <f>COUNTIF('Order Summary'!E5:E24,"Complete")</f>
        <v>4</v>
      </c>
      <c r="G13" s="53"/>
      <c r="H13" s="53"/>
      <c r="I13" s="16"/>
      <c r="J13" s="55">
        <f>COUNTIF('Order Summary'!E5:E24,"Incomplete")</f>
        <v>16</v>
      </c>
      <c r="K13" s="55"/>
      <c r="L13" s="55"/>
    </row>
    <row r="14" spans="2:15" s="15" customFormat="1" ht="25.05" customHeight="1">
      <c r="B14" s="51"/>
      <c r="C14" s="51"/>
      <c r="D14" s="51"/>
      <c r="E14" s="16"/>
      <c r="F14" s="53"/>
      <c r="G14" s="53"/>
      <c r="H14" s="53"/>
      <c r="I14" s="16"/>
      <c r="J14" s="55"/>
      <c r="K14" s="55"/>
      <c r="L14" s="55"/>
    </row>
    <row r="15" spans="2:15" s="15" customFormat="1" ht="25.05" customHeight="1">
      <c r="B15" s="51"/>
      <c r="C15" s="51"/>
      <c r="D15" s="51"/>
      <c r="E15" s="16"/>
      <c r="F15" s="53"/>
      <c r="G15" s="53"/>
      <c r="H15" s="53"/>
      <c r="I15" s="16"/>
      <c r="J15" s="55"/>
      <c r="K15" s="55"/>
      <c r="L15" s="55"/>
    </row>
    <row r="16" spans="2:15" ht="4.2" customHeight="1"/>
    <row r="17" spans="2:15" ht="4.2" customHeight="1"/>
    <row r="18" spans="2:15" s="8" customFormat="1" ht="28.05" customHeight="1">
      <c r="B18" s="48" t="s">
        <v>7</v>
      </c>
      <c r="C18" s="48" t="s">
        <v>7</v>
      </c>
      <c r="D18" s="48" t="s">
        <v>7</v>
      </c>
      <c r="E18" s="48" t="s">
        <v>7</v>
      </c>
      <c r="F18" s="48" t="s">
        <v>7</v>
      </c>
      <c r="G18" s="48" t="s">
        <v>7</v>
      </c>
      <c r="H18" s="48" t="s">
        <v>7</v>
      </c>
      <c r="I18" s="9"/>
      <c r="J18" s="48" t="s">
        <v>8</v>
      </c>
      <c r="K18" s="48" t="s">
        <v>8</v>
      </c>
      <c r="L18" s="48" t="s">
        <v>8</v>
      </c>
      <c r="M18" s="48" t="s">
        <v>8</v>
      </c>
      <c r="N18" s="48" t="s">
        <v>8</v>
      </c>
      <c r="O18" s="48" t="s">
        <v>8</v>
      </c>
    </row>
    <row r="20" spans="2:15" ht="21">
      <c r="B20" s="17" t="s">
        <v>9</v>
      </c>
      <c r="C20" s="17" t="s">
        <v>10</v>
      </c>
      <c r="D20" s="18"/>
      <c r="E20" s="19"/>
      <c r="F20" s="18"/>
      <c r="G20" s="18"/>
      <c r="H20" s="18"/>
      <c r="I20" s="19"/>
      <c r="J20" s="17" t="s">
        <v>11</v>
      </c>
      <c r="K20" s="17" t="s">
        <v>12</v>
      </c>
    </row>
    <row r="21" spans="2:15" ht="21">
      <c r="B21" s="18" t="s">
        <v>13</v>
      </c>
      <c r="C21" s="18">
        <f>COUNTIF('Order Summary'!E5:E24,"Complete")</f>
        <v>4</v>
      </c>
      <c r="D21" s="18"/>
      <c r="E21" s="19"/>
      <c r="F21" s="18"/>
      <c r="G21" s="18"/>
      <c r="H21" s="18"/>
      <c r="I21" s="19"/>
      <c r="J21" s="18" t="s">
        <v>14</v>
      </c>
      <c r="K21" s="18">
        <f>'Audit Checks'!B5</f>
        <v>2</v>
      </c>
    </row>
    <row r="22" spans="2:15" ht="21">
      <c r="B22" s="18" t="s">
        <v>15</v>
      </c>
      <c r="C22" s="18">
        <f>COUNTIF('Order Summary'!E5:E24,"Incomplete")</f>
        <v>16</v>
      </c>
      <c r="D22" s="18"/>
      <c r="E22" s="19"/>
      <c r="F22" s="18"/>
      <c r="G22" s="18"/>
      <c r="H22" s="18"/>
      <c r="I22" s="19"/>
      <c r="J22" s="18" t="s">
        <v>16</v>
      </c>
      <c r="K22" s="18">
        <f>'Audit Checks'!B6</f>
        <v>0</v>
      </c>
    </row>
    <row r="23" spans="2:15" ht="21">
      <c r="B23" s="18"/>
      <c r="C23" s="18"/>
      <c r="D23" s="18"/>
      <c r="E23" s="19"/>
      <c r="F23" s="18"/>
      <c r="G23" s="18"/>
      <c r="H23" s="18"/>
      <c r="I23" s="19"/>
      <c r="J23" s="18" t="s">
        <v>17</v>
      </c>
      <c r="K23" s="18">
        <f>'Audit Checks'!B7</f>
        <v>0</v>
      </c>
    </row>
    <row r="24" spans="2:15" ht="25.8" customHeight="1">
      <c r="B24" s="18"/>
      <c r="C24" s="18"/>
      <c r="D24" s="18"/>
      <c r="E24" s="19"/>
      <c r="F24" s="18"/>
      <c r="G24" s="18"/>
      <c r="H24" s="18"/>
      <c r="I24" s="19"/>
      <c r="J24" s="18" t="s">
        <v>18</v>
      </c>
      <c r="K24" s="18">
        <f>'Audit Checks'!B8</f>
        <v>2</v>
      </c>
    </row>
    <row r="25" spans="2:15" ht="22.2" customHeight="1">
      <c r="B25" s="18"/>
      <c r="C25" s="18"/>
      <c r="D25" s="18"/>
      <c r="E25" s="19"/>
      <c r="F25" s="18"/>
      <c r="G25" s="18"/>
      <c r="H25" s="18"/>
      <c r="I25" s="19"/>
      <c r="J25" s="18"/>
      <c r="K25" s="18"/>
    </row>
    <row r="26" spans="2:15" ht="22.8" customHeight="1"/>
    <row r="27" spans="2:15" ht="30" customHeight="1">
      <c r="B27" s="49" t="s">
        <v>19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9" spans="2:15" s="35" customFormat="1" ht="28.05" customHeight="1">
      <c r="B29" s="36" t="s">
        <v>20</v>
      </c>
      <c r="C29" s="36"/>
      <c r="D29" s="36" t="s">
        <v>21</v>
      </c>
      <c r="E29" s="36"/>
      <c r="F29" s="36" t="s">
        <v>22</v>
      </c>
      <c r="G29" s="36"/>
      <c r="H29" s="36" t="s">
        <v>23</v>
      </c>
      <c r="I29" s="36"/>
      <c r="J29" s="36" t="s">
        <v>9</v>
      </c>
      <c r="K29" s="36"/>
      <c r="L29" s="36" t="s">
        <v>24</v>
      </c>
      <c r="M29" s="37"/>
      <c r="N29" s="36" t="s">
        <v>25</v>
      </c>
    </row>
    <row r="30" spans="2:15" ht="22.95" customHeight="1">
      <c r="B30" s="10" t="str">
        <f>'Order Summary'!A5</f>
        <v>DEMO-ORD-001</v>
      </c>
      <c r="C30" s="11"/>
      <c r="D30" s="10">
        <f>'Order Summary'!B5</f>
        <v>9</v>
      </c>
      <c r="E30" s="12"/>
      <c r="F30" s="10">
        <f>'Order Summary'!C5</f>
        <v>6</v>
      </c>
      <c r="G30" s="11"/>
      <c r="H30" s="10">
        <f>'Order Summary'!D5</f>
        <v>3</v>
      </c>
      <c r="I30" s="12"/>
      <c r="J30" s="20" t="str">
        <f>'Order Summary'!E5</f>
        <v>Incomplete</v>
      </c>
      <c r="K30" s="21"/>
      <c r="L30" s="22">
        <f>'Order Summary'!F5</f>
        <v>46300</v>
      </c>
      <c r="M30" s="21"/>
      <c r="N30" s="20">
        <f ca="1">'Order Summary'!G5</f>
        <v>5</v>
      </c>
    </row>
    <row r="31" spans="2:15" ht="22.95" customHeight="1">
      <c r="B31" s="13" t="str">
        <f>'Order Summary'!A6</f>
        <v>DEMO-ORD-002</v>
      </c>
      <c r="C31" s="11"/>
      <c r="D31" s="13">
        <f>'Order Summary'!B6</f>
        <v>4</v>
      </c>
      <c r="E31" s="12"/>
      <c r="F31" s="13">
        <f>'Order Summary'!C6</f>
        <v>3</v>
      </c>
      <c r="G31" s="11"/>
      <c r="H31" s="13">
        <f>'Order Summary'!D6</f>
        <v>1</v>
      </c>
      <c r="I31" s="12"/>
      <c r="J31" s="23" t="str">
        <f>'Order Summary'!E6</f>
        <v>Incomplete</v>
      </c>
      <c r="K31" s="21"/>
      <c r="L31" s="24">
        <f>'Order Summary'!F6</f>
        <v>46298</v>
      </c>
      <c r="M31" s="21"/>
      <c r="N31" s="23">
        <f ca="1">'Order Summary'!G6</f>
        <v>7</v>
      </c>
    </row>
    <row r="32" spans="2:15" ht="22.95" customHeight="1">
      <c r="B32" s="10" t="str">
        <f>'Order Summary'!A7</f>
        <v>DEMO-ORD-003</v>
      </c>
      <c r="C32" s="11"/>
      <c r="D32" s="10">
        <f>'Order Summary'!B7</f>
        <v>5</v>
      </c>
      <c r="E32" s="12"/>
      <c r="F32" s="10">
        <f>'Order Summary'!C7</f>
        <v>1</v>
      </c>
      <c r="G32" s="11"/>
      <c r="H32" s="10">
        <f>'Order Summary'!D7</f>
        <v>4</v>
      </c>
      <c r="I32" s="12"/>
      <c r="J32" s="20" t="str">
        <f>'Order Summary'!E7</f>
        <v>Incomplete</v>
      </c>
      <c r="K32" s="21"/>
      <c r="L32" s="22">
        <f>'Order Summary'!F7</f>
        <v>46292</v>
      </c>
      <c r="M32" s="21"/>
      <c r="N32" s="20">
        <f ca="1">'Order Summary'!G7</f>
        <v>13</v>
      </c>
    </row>
    <row r="33" spans="2:14" ht="22.95" customHeight="1">
      <c r="B33" s="13" t="str">
        <f>'Order Summary'!A8</f>
        <v>DEMO-ORD-004</v>
      </c>
      <c r="C33" s="11"/>
      <c r="D33" s="13">
        <f>'Order Summary'!B8</f>
        <v>3</v>
      </c>
      <c r="E33" s="12"/>
      <c r="F33" s="13">
        <f>'Order Summary'!C8</f>
        <v>0</v>
      </c>
      <c r="G33" s="11"/>
      <c r="H33" s="13">
        <f>'Order Summary'!D8</f>
        <v>3</v>
      </c>
      <c r="I33" s="12"/>
      <c r="J33" s="23" t="str">
        <f>'Order Summary'!E8</f>
        <v>Incomplete</v>
      </c>
      <c r="K33" s="21"/>
      <c r="L33" s="24">
        <f>'Order Summary'!F8</f>
        <v>0</v>
      </c>
      <c r="M33" s="21"/>
      <c r="N33" s="23">
        <f ca="1">'Order Summary'!G8</f>
        <v>46305</v>
      </c>
    </row>
    <row r="34" spans="2:14" ht="22.95" customHeight="1">
      <c r="B34" s="10" t="str">
        <f>'Order Summary'!A9</f>
        <v>DEMO-ORD-005</v>
      </c>
      <c r="C34" s="11"/>
      <c r="D34" s="10">
        <f>'Order Summary'!B9</f>
        <v>2</v>
      </c>
      <c r="E34" s="12"/>
      <c r="F34" s="10">
        <f>'Order Summary'!C9</f>
        <v>2</v>
      </c>
      <c r="G34" s="11"/>
      <c r="H34" s="10">
        <f>'Order Summary'!D9</f>
        <v>0</v>
      </c>
      <c r="I34" s="12"/>
      <c r="J34" s="20" t="str">
        <f>'Order Summary'!E9</f>
        <v>Complete</v>
      </c>
      <c r="K34" s="21"/>
      <c r="L34" s="22">
        <f>'Order Summary'!F9</f>
        <v>46294</v>
      </c>
      <c r="M34" s="21"/>
      <c r="N34" s="20">
        <f ca="1">'Order Summary'!G9</f>
        <v>11</v>
      </c>
    </row>
    <row r="35" spans="2:14" ht="22.95" customHeight="1">
      <c r="B35" s="13" t="str">
        <f>'Order Summary'!A10</f>
        <v>DEMO-ORD-006</v>
      </c>
      <c r="C35" s="11"/>
      <c r="D35" s="13">
        <f>'Order Summary'!B10</f>
        <v>3</v>
      </c>
      <c r="E35" s="12"/>
      <c r="F35" s="13">
        <f>'Order Summary'!C10</f>
        <v>3</v>
      </c>
      <c r="G35" s="11"/>
      <c r="H35" s="13">
        <f>'Order Summary'!D10</f>
        <v>0</v>
      </c>
      <c r="I35" s="12"/>
      <c r="J35" s="23" t="str">
        <f>'Order Summary'!E10</f>
        <v>Complete</v>
      </c>
      <c r="K35" s="21"/>
      <c r="L35" s="24">
        <f>'Order Summary'!F10</f>
        <v>46299</v>
      </c>
      <c r="M35" s="21"/>
      <c r="N35" s="23">
        <f ca="1">'Order Summary'!G10</f>
        <v>6</v>
      </c>
    </row>
    <row r="36" spans="2:14" ht="22.95" customHeight="1">
      <c r="B36" s="10" t="str">
        <f>'Order Summary'!A11</f>
        <v>DEMO-ORD-007</v>
      </c>
      <c r="C36" s="11"/>
      <c r="D36" s="10">
        <f>'Order Summary'!B11</f>
        <v>10</v>
      </c>
      <c r="E36" s="12"/>
      <c r="F36" s="10">
        <f>'Order Summary'!C11</f>
        <v>7</v>
      </c>
      <c r="G36" s="11"/>
      <c r="H36" s="10">
        <f>'Order Summary'!D11</f>
        <v>3</v>
      </c>
      <c r="I36" s="12"/>
      <c r="J36" s="20" t="str">
        <f>'Order Summary'!E11</f>
        <v>Incomplete</v>
      </c>
      <c r="K36" s="21"/>
      <c r="L36" s="22">
        <f>'Order Summary'!F11</f>
        <v>46300</v>
      </c>
      <c r="M36" s="21"/>
      <c r="N36" s="20">
        <f ca="1">'Order Summary'!G11</f>
        <v>5</v>
      </c>
    </row>
    <row r="37" spans="2:14" ht="22.95" customHeight="1">
      <c r="B37" s="13" t="str">
        <f>'Order Summary'!A12</f>
        <v>DEMO-ORD-008</v>
      </c>
      <c r="C37" s="11"/>
      <c r="D37" s="13">
        <f>'Order Summary'!B12</f>
        <v>7</v>
      </c>
      <c r="E37" s="12"/>
      <c r="F37" s="13">
        <f>'Order Summary'!C12</f>
        <v>6</v>
      </c>
      <c r="G37" s="11"/>
      <c r="H37" s="13">
        <f>'Order Summary'!D12</f>
        <v>1</v>
      </c>
      <c r="I37" s="12"/>
      <c r="J37" s="23" t="str">
        <f>'Order Summary'!E12</f>
        <v>Incomplete</v>
      </c>
      <c r="K37" s="21"/>
      <c r="L37" s="24">
        <f>'Order Summary'!F12</f>
        <v>46296</v>
      </c>
      <c r="M37" s="21"/>
      <c r="N37" s="23">
        <f ca="1">'Order Summary'!G12</f>
        <v>9</v>
      </c>
    </row>
    <row r="38" spans="2:14" ht="22.95" customHeight="1">
      <c r="B38" s="10" t="str">
        <f>'Order Summary'!A13</f>
        <v>DEMO-ORD-009</v>
      </c>
      <c r="C38" s="11"/>
      <c r="D38" s="10">
        <f>'Order Summary'!B13</f>
        <v>2</v>
      </c>
      <c r="E38" s="12"/>
      <c r="F38" s="10">
        <f>'Order Summary'!C13</f>
        <v>2</v>
      </c>
      <c r="G38" s="11"/>
      <c r="H38" s="10">
        <f>'Order Summary'!D13</f>
        <v>0</v>
      </c>
      <c r="I38" s="12"/>
      <c r="J38" s="20" t="str">
        <f>'Order Summary'!E13</f>
        <v>Complete</v>
      </c>
      <c r="K38" s="21"/>
      <c r="L38" s="22">
        <f>'Order Summary'!F13</f>
        <v>46287</v>
      </c>
      <c r="M38" s="21"/>
      <c r="N38" s="20">
        <f ca="1">'Order Summary'!G13</f>
        <v>18</v>
      </c>
    </row>
    <row r="39" spans="2:14" ht="22.95" customHeight="1">
      <c r="B39" s="13" t="str">
        <f>'Order Summary'!A14</f>
        <v>DEMO-ORD-010</v>
      </c>
      <c r="C39" s="11"/>
      <c r="D39" s="13">
        <f>'Order Summary'!B14</f>
        <v>8</v>
      </c>
      <c r="E39" s="12"/>
      <c r="F39" s="13">
        <f>'Order Summary'!C14</f>
        <v>5</v>
      </c>
      <c r="G39" s="11"/>
      <c r="H39" s="13">
        <f>'Order Summary'!D14</f>
        <v>3</v>
      </c>
      <c r="I39" s="12"/>
      <c r="J39" s="23" t="str">
        <f>'Order Summary'!E14</f>
        <v>Incomplete</v>
      </c>
      <c r="K39" s="21"/>
      <c r="L39" s="24">
        <f>'Order Summary'!F14</f>
        <v>46297</v>
      </c>
      <c r="M39" s="21"/>
      <c r="N39" s="23">
        <f ca="1">'Order Summary'!G14</f>
        <v>8</v>
      </c>
    </row>
    <row r="40" spans="2:14" ht="22.95" customHeight="1">
      <c r="B40" s="10" t="str">
        <f>'Order Summary'!A15</f>
        <v>DEMO-ORD-011</v>
      </c>
      <c r="C40" s="11"/>
      <c r="D40" s="10">
        <f>'Order Summary'!B15</f>
        <v>7</v>
      </c>
      <c r="E40" s="12"/>
      <c r="F40" s="10">
        <f>'Order Summary'!C15</f>
        <v>7</v>
      </c>
      <c r="G40" s="11"/>
      <c r="H40" s="10">
        <f>'Order Summary'!D15</f>
        <v>0</v>
      </c>
      <c r="I40" s="12"/>
      <c r="J40" s="20" t="str">
        <f>'Order Summary'!E15</f>
        <v>Complete</v>
      </c>
      <c r="K40" s="21"/>
      <c r="L40" s="22">
        <f>'Order Summary'!F15</f>
        <v>46297</v>
      </c>
      <c r="M40" s="21"/>
      <c r="N40" s="20">
        <f ca="1">'Order Summary'!G15</f>
        <v>8</v>
      </c>
    </row>
    <row r="41" spans="2:14" ht="22.95" customHeight="1">
      <c r="B41" s="13" t="str">
        <f>'Order Summary'!A16</f>
        <v>DEMO-ORD-012</v>
      </c>
      <c r="C41" s="11"/>
      <c r="D41" s="13">
        <f>'Order Summary'!B16</f>
        <v>7</v>
      </c>
      <c r="E41" s="12"/>
      <c r="F41" s="13">
        <f>'Order Summary'!C16</f>
        <v>4</v>
      </c>
      <c r="G41" s="11"/>
      <c r="H41" s="13">
        <f>'Order Summary'!D16</f>
        <v>3</v>
      </c>
      <c r="I41" s="12"/>
      <c r="J41" s="23" t="str">
        <f>'Order Summary'!E16</f>
        <v>Incomplete</v>
      </c>
      <c r="K41" s="21"/>
      <c r="L41" s="24">
        <f>'Order Summary'!F16</f>
        <v>46288</v>
      </c>
      <c r="M41" s="21"/>
      <c r="N41" s="23">
        <f ca="1">'Order Summary'!G16</f>
        <v>17</v>
      </c>
    </row>
    <row r="42" spans="2:14" ht="22.95" customHeight="1">
      <c r="B42" s="10" t="str">
        <f>'Order Summary'!A17</f>
        <v>DEMO-ORD-013</v>
      </c>
      <c r="C42" s="11"/>
      <c r="D42" s="10">
        <f>'Order Summary'!B17</f>
        <v>10</v>
      </c>
      <c r="E42" s="12"/>
      <c r="F42" s="10">
        <f>'Order Summary'!C17</f>
        <v>6</v>
      </c>
      <c r="G42" s="11"/>
      <c r="H42" s="10">
        <f>'Order Summary'!D17</f>
        <v>4</v>
      </c>
      <c r="I42" s="12"/>
      <c r="J42" s="20" t="str">
        <f>'Order Summary'!E17</f>
        <v>Incomplete</v>
      </c>
      <c r="K42" s="21"/>
      <c r="L42" s="22">
        <f>'Order Summary'!F17</f>
        <v>46299</v>
      </c>
      <c r="M42" s="21"/>
      <c r="N42" s="20">
        <f ca="1">'Order Summary'!G17</f>
        <v>6</v>
      </c>
    </row>
    <row r="43" spans="2:14" ht="22.95" customHeight="1">
      <c r="B43" s="13" t="str">
        <f>'Order Summary'!A18</f>
        <v>DEMO-ORD-014</v>
      </c>
      <c r="C43" s="11"/>
      <c r="D43" s="13">
        <f>'Order Summary'!B18</f>
        <v>12</v>
      </c>
      <c r="E43" s="12"/>
      <c r="F43" s="13">
        <f>'Order Summary'!C18</f>
        <v>10</v>
      </c>
      <c r="G43" s="11"/>
      <c r="H43" s="13">
        <f>'Order Summary'!D18</f>
        <v>2</v>
      </c>
      <c r="I43" s="12"/>
      <c r="J43" s="23" t="str">
        <f>'Order Summary'!E18</f>
        <v>Incomplete</v>
      </c>
      <c r="K43" s="21"/>
      <c r="L43" s="24">
        <f>'Order Summary'!F18</f>
        <v>46299</v>
      </c>
      <c r="M43" s="21"/>
      <c r="N43" s="23">
        <f ca="1">'Order Summary'!G18</f>
        <v>6</v>
      </c>
    </row>
    <row r="44" spans="2:14" ht="22.95" customHeight="1">
      <c r="B44" s="10" t="str">
        <f>'Order Summary'!A19</f>
        <v>DEMO-ORD-015</v>
      </c>
      <c r="C44" s="11"/>
      <c r="D44" s="10">
        <f>'Order Summary'!B19</f>
        <v>6</v>
      </c>
      <c r="E44" s="12"/>
      <c r="F44" s="10">
        <f>'Order Summary'!C19</f>
        <v>5</v>
      </c>
      <c r="G44" s="11"/>
      <c r="H44" s="10">
        <f>'Order Summary'!D19</f>
        <v>1</v>
      </c>
      <c r="I44" s="12"/>
      <c r="J44" s="20" t="str">
        <f>'Order Summary'!E19</f>
        <v>Incomplete</v>
      </c>
      <c r="K44" s="21"/>
      <c r="L44" s="22">
        <f>'Order Summary'!F19</f>
        <v>46293</v>
      </c>
      <c r="M44" s="21"/>
      <c r="N44" s="20">
        <f ca="1">'Order Summary'!G19</f>
        <v>12</v>
      </c>
    </row>
    <row r="45" spans="2:14" ht="18">
      <c r="J45" s="7"/>
      <c r="K45" s="7"/>
      <c r="L45" s="7"/>
      <c r="M45" s="7"/>
      <c r="N45" s="7"/>
    </row>
  </sheetData>
  <mergeCells count="17">
    <mergeCell ref="B2:O3"/>
    <mergeCell ref="B4:O4"/>
    <mergeCell ref="B7:D7"/>
    <mergeCell ref="B8:D10"/>
    <mergeCell ref="F7:H7"/>
    <mergeCell ref="F8:H10"/>
    <mergeCell ref="J7:L7"/>
    <mergeCell ref="J8:L10"/>
    <mergeCell ref="B18:H18"/>
    <mergeCell ref="J18:O18"/>
    <mergeCell ref="B27:O27"/>
    <mergeCell ref="B12:D12"/>
    <mergeCell ref="B13:D15"/>
    <mergeCell ref="F12:H12"/>
    <mergeCell ref="F13:H15"/>
    <mergeCell ref="J12:L12"/>
    <mergeCell ref="J13:L15"/>
  </mergeCells>
  <conditionalFormatting sqref="H30:H44">
    <cfRule type="dataBar" priority="1">
      <dataBar>
        <cfvo type="min"/>
        <cfvo type="max"/>
        <color rgb="FFE7A24B"/>
      </dataBar>
    </cfRule>
    <cfRule type="dataBar" priority="2">
      <dataBar>
        <cfvo type="min"/>
        <cfvo type="max"/>
        <color rgb="FFE7A24B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H30:H44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7"/>
  <sheetViews>
    <sheetView zoomScale="98" workbookViewId="0">
      <selection activeCell="A106" sqref="A106"/>
    </sheetView>
  </sheetViews>
  <sheetFormatPr defaultRowHeight="13.8"/>
  <cols>
    <col min="1" max="1" width="47.796875" style="44" customWidth="1"/>
    <col min="2" max="2" width="33.296875" style="44" customWidth="1"/>
    <col min="3" max="3" width="19" style="44" customWidth="1"/>
    <col min="4" max="4" width="21.19921875" style="44" customWidth="1"/>
    <col min="5" max="5" width="17.09765625" style="44" customWidth="1"/>
    <col min="6" max="7" width="19" style="44" customWidth="1"/>
    <col min="8" max="16384" width="8.796875" style="44"/>
  </cols>
  <sheetData>
    <row r="1" spans="1:7" s="42" customFormat="1" ht="45" customHeight="1">
      <c r="A1" s="46" t="s">
        <v>211</v>
      </c>
      <c r="B1" s="41"/>
      <c r="C1" s="41"/>
      <c r="D1" s="41"/>
      <c r="E1" s="41"/>
      <c r="F1" s="41"/>
      <c r="G1" s="41"/>
    </row>
    <row r="2" spans="1:7" s="43" customFormat="1" ht="6.6" customHeight="1"/>
    <row r="3" spans="1:7" hidden="1"/>
    <row r="4" spans="1:7" s="45" customFormat="1" ht="24" customHeight="1">
      <c r="A4" s="38" t="s">
        <v>20</v>
      </c>
      <c r="B4" s="38" t="s">
        <v>26</v>
      </c>
      <c r="C4" s="38" t="s">
        <v>27</v>
      </c>
      <c r="D4" s="38" t="s">
        <v>28</v>
      </c>
      <c r="E4" s="38" t="s">
        <v>29</v>
      </c>
      <c r="F4" s="38" t="s">
        <v>30</v>
      </c>
      <c r="G4" s="38" t="s">
        <v>31</v>
      </c>
    </row>
    <row r="5" spans="1:7" ht="14.4">
      <c r="A5" s="39" t="s">
        <v>32</v>
      </c>
      <c r="B5" s="39" t="s">
        <v>33</v>
      </c>
      <c r="C5" s="39" t="s">
        <v>34</v>
      </c>
      <c r="D5" s="40">
        <v>46284</v>
      </c>
      <c r="E5" s="39" t="s">
        <v>35</v>
      </c>
      <c r="F5" s="39" t="s">
        <v>36</v>
      </c>
      <c r="G5" s="39" t="str">
        <f t="shared" ref="G5:G36" si="0">IF(B5="","MISSING SN",IF(COUNTIF($B$5:$B$500,B5)&gt;1,"DUPLICATE","OK"))</f>
        <v>OK</v>
      </c>
    </row>
    <row r="6" spans="1:7" ht="14.4">
      <c r="A6" s="39" t="s">
        <v>32</v>
      </c>
      <c r="B6" s="39" t="s">
        <v>37</v>
      </c>
      <c r="C6" s="39" t="s">
        <v>38</v>
      </c>
      <c r="D6" s="40">
        <v>46280</v>
      </c>
      <c r="E6" s="39" t="s">
        <v>35</v>
      </c>
      <c r="F6" s="39" t="s">
        <v>36</v>
      </c>
      <c r="G6" s="39" t="str">
        <f t="shared" si="0"/>
        <v>OK</v>
      </c>
    </row>
    <row r="7" spans="1:7" ht="14.4">
      <c r="A7" s="39" t="s">
        <v>32</v>
      </c>
      <c r="B7" s="39" t="s">
        <v>39</v>
      </c>
      <c r="C7" s="39" t="s">
        <v>34</v>
      </c>
      <c r="D7" s="40">
        <v>46295</v>
      </c>
      <c r="E7" s="39" t="s">
        <v>35</v>
      </c>
      <c r="F7" s="39" t="s">
        <v>36</v>
      </c>
      <c r="G7" s="39" t="str">
        <f t="shared" si="0"/>
        <v>OK</v>
      </c>
    </row>
    <row r="8" spans="1:7" ht="14.4">
      <c r="A8" s="39" t="s">
        <v>32</v>
      </c>
      <c r="B8" s="39" t="s">
        <v>40</v>
      </c>
      <c r="C8" s="39" t="s">
        <v>34</v>
      </c>
      <c r="D8" s="40">
        <v>46300</v>
      </c>
      <c r="E8" s="39" t="s">
        <v>35</v>
      </c>
      <c r="F8" s="39" t="s">
        <v>36</v>
      </c>
      <c r="G8" s="39" t="str">
        <f t="shared" si="0"/>
        <v>DUPLICATE</v>
      </c>
    </row>
    <row r="9" spans="1:7" ht="14.4">
      <c r="A9" s="39" t="s">
        <v>32</v>
      </c>
      <c r="B9" s="39" t="s">
        <v>41</v>
      </c>
      <c r="C9" s="39" t="s">
        <v>38</v>
      </c>
      <c r="D9" s="40">
        <v>46299</v>
      </c>
      <c r="E9" s="39" t="s">
        <v>35</v>
      </c>
      <c r="F9" s="39" t="s">
        <v>36</v>
      </c>
      <c r="G9" s="39" t="str">
        <f t="shared" si="0"/>
        <v>OK</v>
      </c>
    </row>
    <row r="10" spans="1:7" ht="14.4">
      <c r="A10" s="39" t="s">
        <v>32</v>
      </c>
      <c r="B10" s="39" t="s">
        <v>42</v>
      </c>
      <c r="C10" s="39" t="s">
        <v>43</v>
      </c>
      <c r="D10" s="40">
        <v>46297</v>
      </c>
      <c r="E10" s="39" t="s">
        <v>35</v>
      </c>
      <c r="F10" s="39" t="s">
        <v>36</v>
      </c>
      <c r="G10" s="39" t="str">
        <f t="shared" si="0"/>
        <v>OK</v>
      </c>
    </row>
    <row r="11" spans="1:7" ht="14.4">
      <c r="A11" s="39" t="s">
        <v>32</v>
      </c>
      <c r="B11" s="39" t="s">
        <v>44</v>
      </c>
      <c r="C11" s="39" t="s">
        <v>45</v>
      </c>
      <c r="D11" s="40">
        <v>46299</v>
      </c>
      <c r="E11" s="39" t="s">
        <v>35</v>
      </c>
      <c r="F11" s="39" t="s">
        <v>36</v>
      </c>
      <c r="G11" s="39" t="str">
        <f t="shared" si="0"/>
        <v>OK</v>
      </c>
    </row>
    <row r="12" spans="1:7" ht="14.4">
      <c r="A12" s="39" t="s">
        <v>46</v>
      </c>
      <c r="B12" s="39" t="s">
        <v>47</v>
      </c>
      <c r="C12" s="39" t="s">
        <v>34</v>
      </c>
      <c r="D12" s="40">
        <v>46285</v>
      </c>
      <c r="E12" s="39" t="s">
        <v>48</v>
      </c>
      <c r="F12" s="39" t="s">
        <v>36</v>
      </c>
      <c r="G12" s="39" t="str">
        <f t="shared" si="0"/>
        <v>OK</v>
      </c>
    </row>
    <row r="13" spans="1:7" ht="14.4">
      <c r="A13" s="39" t="s">
        <v>46</v>
      </c>
      <c r="B13" s="39" t="s">
        <v>49</v>
      </c>
      <c r="C13" s="39" t="s">
        <v>34</v>
      </c>
      <c r="D13" s="40">
        <v>46286</v>
      </c>
      <c r="E13" s="39" t="s">
        <v>48</v>
      </c>
      <c r="F13" s="39" t="s">
        <v>36</v>
      </c>
      <c r="G13" s="39" t="str">
        <f t="shared" si="0"/>
        <v>OK</v>
      </c>
    </row>
    <row r="14" spans="1:7" ht="14.4">
      <c r="A14" s="39" t="s">
        <v>46</v>
      </c>
      <c r="B14" s="39" t="s">
        <v>50</v>
      </c>
      <c r="C14" s="39" t="s">
        <v>45</v>
      </c>
      <c r="D14" s="40">
        <v>46298</v>
      </c>
      <c r="E14" s="39" t="s">
        <v>48</v>
      </c>
      <c r="F14" s="39" t="s">
        <v>36</v>
      </c>
      <c r="G14" s="39" t="str">
        <f t="shared" si="0"/>
        <v>OK</v>
      </c>
    </row>
    <row r="15" spans="1:7" ht="14.4">
      <c r="A15" s="39" t="s">
        <v>51</v>
      </c>
      <c r="B15" s="39" t="s">
        <v>52</v>
      </c>
      <c r="C15" s="39" t="s">
        <v>34</v>
      </c>
      <c r="D15" s="40">
        <v>46292</v>
      </c>
      <c r="E15" s="39" t="s">
        <v>53</v>
      </c>
      <c r="F15" s="39" t="s">
        <v>36</v>
      </c>
      <c r="G15" s="39" t="str">
        <f t="shared" si="0"/>
        <v>OK</v>
      </c>
    </row>
    <row r="16" spans="1:7" ht="14.4">
      <c r="A16" s="39" t="s">
        <v>54</v>
      </c>
      <c r="B16" s="39" t="s">
        <v>55</v>
      </c>
      <c r="C16" s="39" t="s">
        <v>43</v>
      </c>
      <c r="D16" s="40">
        <v>46282</v>
      </c>
      <c r="E16" s="39" t="s">
        <v>56</v>
      </c>
      <c r="F16" s="39" t="s">
        <v>36</v>
      </c>
      <c r="G16" s="39" t="str">
        <f t="shared" si="0"/>
        <v>OK</v>
      </c>
    </row>
    <row r="17" spans="1:7" ht="14.4">
      <c r="A17" s="39" t="s">
        <v>54</v>
      </c>
      <c r="B17" s="39" t="s">
        <v>57</v>
      </c>
      <c r="C17" s="39" t="s">
        <v>38</v>
      </c>
      <c r="D17" s="40">
        <v>46294</v>
      </c>
      <c r="E17" s="39" t="s">
        <v>56</v>
      </c>
      <c r="F17" s="39" t="s">
        <v>36</v>
      </c>
      <c r="G17" s="39" t="str">
        <f t="shared" si="0"/>
        <v>OK</v>
      </c>
    </row>
    <row r="18" spans="1:7" ht="14.4">
      <c r="A18" s="39" t="s">
        <v>58</v>
      </c>
      <c r="B18" s="39" t="s">
        <v>59</v>
      </c>
      <c r="C18" s="39" t="s">
        <v>43</v>
      </c>
      <c r="D18" s="40">
        <v>46297</v>
      </c>
      <c r="E18" s="39" t="s">
        <v>60</v>
      </c>
      <c r="F18" s="39" t="s">
        <v>36</v>
      </c>
      <c r="G18" s="39" t="str">
        <f t="shared" si="0"/>
        <v>OK</v>
      </c>
    </row>
    <row r="19" spans="1:7" ht="14.4">
      <c r="A19" s="39" t="s">
        <v>58</v>
      </c>
      <c r="B19" s="39" t="s">
        <v>61</v>
      </c>
      <c r="C19" s="39" t="s">
        <v>34</v>
      </c>
      <c r="D19" s="40">
        <v>46299</v>
      </c>
      <c r="E19" s="39" t="s">
        <v>60</v>
      </c>
      <c r="F19" s="39" t="s">
        <v>36</v>
      </c>
      <c r="G19" s="39" t="str">
        <f t="shared" si="0"/>
        <v>OK</v>
      </c>
    </row>
    <row r="20" spans="1:7" ht="14.4">
      <c r="A20" s="39" t="s">
        <v>58</v>
      </c>
      <c r="B20" s="39" t="s">
        <v>62</v>
      </c>
      <c r="C20" s="39" t="s">
        <v>43</v>
      </c>
      <c r="D20" s="40">
        <v>46281</v>
      </c>
      <c r="E20" s="39" t="s">
        <v>60</v>
      </c>
      <c r="F20" s="39" t="s">
        <v>36</v>
      </c>
      <c r="G20" s="39" t="str">
        <f t="shared" si="0"/>
        <v>OK</v>
      </c>
    </row>
    <row r="21" spans="1:7" ht="14.4">
      <c r="A21" s="39" t="s">
        <v>63</v>
      </c>
      <c r="B21" s="39" t="s">
        <v>64</v>
      </c>
      <c r="C21" s="39" t="s">
        <v>45</v>
      </c>
      <c r="D21" s="40">
        <v>46292</v>
      </c>
      <c r="E21" s="39" t="s">
        <v>65</v>
      </c>
      <c r="F21" s="39" t="s">
        <v>36</v>
      </c>
      <c r="G21" s="39" t="str">
        <f t="shared" si="0"/>
        <v>OK</v>
      </c>
    </row>
    <row r="22" spans="1:7" ht="14.4">
      <c r="A22" s="39" t="s">
        <v>63</v>
      </c>
      <c r="B22" s="39" t="s">
        <v>66</v>
      </c>
      <c r="C22" s="39" t="s">
        <v>38</v>
      </c>
      <c r="D22" s="40">
        <v>46299</v>
      </c>
      <c r="E22" s="39" t="s">
        <v>65</v>
      </c>
      <c r="F22" s="39" t="s">
        <v>36</v>
      </c>
      <c r="G22" s="39" t="str">
        <f t="shared" si="0"/>
        <v>OK</v>
      </c>
    </row>
    <row r="23" spans="1:7" ht="14.4">
      <c r="A23" s="39" t="s">
        <v>63</v>
      </c>
      <c r="B23" s="39" t="s">
        <v>67</v>
      </c>
      <c r="C23" s="39" t="s">
        <v>38</v>
      </c>
      <c r="D23" s="40">
        <v>46295</v>
      </c>
      <c r="E23" s="39" t="s">
        <v>65</v>
      </c>
      <c r="F23" s="39" t="s">
        <v>36</v>
      </c>
      <c r="G23" s="39" t="str">
        <f t="shared" si="0"/>
        <v>OK</v>
      </c>
    </row>
    <row r="24" spans="1:7" ht="14.4">
      <c r="A24" s="39" t="s">
        <v>63</v>
      </c>
      <c r="B24" s="39" t="s">
        <v>68</v>
      </c>
      <c r="C24" s="39" t="s">
        <v>38</v>
      </c>
      <c r="D24" s="40">
        <v>46297</v>
      </c>
      <c r="E24" s="39" t="s">
        <v>65</v>
      </c>
      <c r="F24" s="39" t="s">
        <v>36</v>
      </c>
      <c r="G24" s="39" t="str">
        <f t="shared" si="0"/>
        <v>OK</v>
      </c>
    </row>
    <row r="25" spans="1:7" ht="14.4">
      <c r="A25" s="39" t="s">
        <v>63</v>
      </c>
      <c r="B25" s="39" t="s">
        <v>69</v>
      </c>
      <c r="C25" s="39" t="s">
        <v>45</v>
      </c>
      <c r="D25" s="40">
        <v>46300</v>
      </c>
      <c r="E25" s="39" t="s">
        <v>65</v>
      </c>
      <c r="F25" s="39" t="s">
        <v>36</v>
      </c>
      <c r="G25" s="39" t="str">
        <f t="shared" si="0"/>
        <v>OK</v>
      </c>
    </row>
    <row r="26" spans="1:7" ht="14.4">
      <c r="A26" s="39" t="s">
        <v>63</v>
      </c>
      <c r="B26" s="39" t="s">
        <v>70</v>
      </c>
      <c r="C26" s="39" t="s">
        <v>45</v>
      </c>
      <c r="D26" s="40">
        <v>46286</v>
      </c>
      <c r="E26" s="39" t="s">
        <v>65</v>
      </c>
      <c r="F26" s="39" t="s">
        <v>36</v>
      </c>
      <c r="G26" s="39" t="str">
        <f t="shared" si="0"/>
        <v>OK</v>
      </c>
    </row>
    <row r="27" spans="1:7" ht="14.4">
      <c r="A27" s="39" t="s">
        <v>63</v>
      </c>
      <c r="B27" s="39" t="s">
        <v>71</v>
      </c>
      <c r="C27" s="39" t="s">
        <v>34</v>
      </c>
      <c r="D27" s="40">
        <v>46291</v>
      </c>
      <c r="E27" s="39" t="s">
        <v>65</v>
      </c>
      <c r="F27" s="39" t="s">
        <v>36</v>
      </c>
      <c r="G27" s="39" t="str">
        <f t="shared" si="0"/>
        <v>OK</v>
      </c>
    </row>
    <row r="28" spans="1:7" ht="14.4">
      <c r="A28" s="39" t="s">
        <v>72</v>
      </c>
      <c r="B28" s="39" t="s">
        <v>73</v>
      </c>
      <c r="C28" s="39" t="s">
        <v>34</v>
      </c>
      <c r="D28" s="40">
        <v>46283</v>
      </c>
      <c r="E28" s="39" t="s">
        <v>74</v>
      </c>
      <c r="F28" s="39" t="s">
        <v>36</v>
      </c>
      <c r="G28" s="39" t="str">
        <f t="shared" si="0"/>
        <v>OK</v>
      </c>
    </row>
    <row r="29" spans="1:7" ht="14.4">
      <c r="A29" s="39" t="s">
        <v>72</v>
      </c>
      <c r="B29" s="39" t="s">
        <v>75</v>
      </c>
      <c r="C29" s="39" t="s">
        <v>34</v>
      </c>
      <c r="D29" s="40">
        <v>46287</v>
      </c>
      <c r="E29" s="39" t="s">
        <v>74</v>
      </c>
      <c r="F29" s="39" t="s">
        <v>36</v>
      </c>
      <c r="G29" s="39" t="str">
        <f t="shared" si="0"/>
        <v>OK</v>
      </c>
    </row>
    <row r="30" spans="1:7" ht="14.4">
      <c r="A30" s="39" t="s">
        <v>72</v>
      </c>
      <c r="B30" s="39" t="s">
        <v>76</v>
      </c>
      <c r="C30" s="39" t="s">
        <v>34</v>
      </c>
      <c r="D30" s="40">
        <v>46291</v>
      </c>
      <c r="E30" s="39" t="s">
        <v>74</v>
      </c>
      <c r="F30" s="39" t="s">
        <v>36</v>
      </c>
      <c r="G30" s="39" t="str">
        <f t="shared" si="0"/>
        <v>OK</v>
      </c>
    </row>
    <row r="31" spans="1:7" ht="14.4">
      <c r="A31" s="39" t="s">
        <v>72</v>
      </c>
      <c r="B31" s="39" t="s">
        <v>77</v>
      </c>
      <c r="C31" s="39" t="s">
        <v>34</v>
      </c>
      <c r="D31" s="40">
        <v>46296</v>
      </c>
      <c r="E31" s="39" t="s">
        <v>74</v>
      </c>
      <c r="F31" s="39" t="s">
        <v>36</v>
      </c>
      <c r="G31" s="39" t="str">
        <f t="shared" si="0"/>
        <v>OK</v>
      </c>
    </row>
    <row r="32" spans="1:7" ht="14.4">
      <c r="A32" s="39" t="s">
        <v>72</v>
      </c>
      <c r="B32" s="39" t="s">
        <v>78</v>
      </c>
      <c r="C32" s="39" t="s">
        <v>43</v>
      </c>
      <c r="D32" s="40">
        <v>46280</v>
      </c>
      <c r="E32" s="39" t="s">
        <v>74</v>
      </c>
      <c r="F32" s="39" t="s">
        <v>36</v>
      </c>
      <c r="G32" s="39" t="str">
        <f t="shared" si="0"/>
        <v>OK</v>
      </c>
    </row>
    <row r="33" spans="1:7" ht="14.4">
      <c r="A33" s="39" t="s">
        <v>72</v>
      </c>
      <c r="B33" s="39" t="s">
        <v>79</v>
      </c>
      <c r="C33" s="39" t="s">
        <v>38</v>
      </c>
      <c r="D33" s="40">
        <v>46293</v>
      </c>
      <c r="E33" s="39" t="s">
        <v>74</v>
      </c>
      <c r="F33" s="39" t="s">
        <v>36</v>
      </c>
      <c r="G33" s="39" t="str">
        <f t="shared" si="0"/>
        <v>OK</v>
      </c>
    </row>
    <row r="34" spans="1:7" ht="14.4">
      <c r="A34" s="39" t="s">
        <v>80</v>
      </c>
      <c r="B34" s="39" t="s">
        <v>81</v>
      </c>
      <c r="C34" s="39" t="s">
        <v>45</v>
      </c>
      <c r="D34" s="40">
        <v>46287</v>
      </c>
      <c r="E34" s="39" t="s">
        <v>82</v>
      </c>
      <c r="F34" s="39" t="s">
        <v>36</v>
      </c>
      <c r="G34" s="39" t="str">
        <f t="shared" si="0"/>
        <v>OK</v>
      </c>
    </row>
    <row r="35" spans="1:7" ht="14.4">
      <c r="A35" s="39" t="s">
        <v>80</v>
      </c>
      <c r="B35" s="39" t="s">
        <v>83</v>
      </c>
      <c r="C35" s="39" t="s">
        <v>38</v>
      </c>
      <c r="D35" s="40">
        <v>46281</v>
      </c>
      <c r="E35" s="39" t="s">
        <v>82</v>
      </c>
      <c r="F35" s="39" t="s">
        <v>36</v>
      </c>
      <c r="G35" s="39" t="str">
        <f t="shared" si="0"/>
        <v>OK</v>
      </c>
    </row>
    <row r="36" spans="1:7" ht="14.4">
      <c r="A36" s="39" t="s">
        <v>84</v>
      </c>
      <c r="B36" s="39" t="s">
        <v>85</v>
      </c>
      <c r="C36" s="39" t="s">
        <v>45</v>
      </c>
      <c r="D36" s="40">
        <v>46297</v>
      </c>
      <c r="E36" s="39" t="s">
        <v>86</v>
      </c>
      <c r="F36" s="39" t="s">
        <v>36</v>
      </c>
      <c r="G36" s="39" t="str">
        <f t="shared" si="0"/>
        <v>OK</v>
      </c>
    </row>
    <row r="37" spans="1:7" ht="14.4">
      <c r="A37" s="39" t="s">
        <v>84</v>
      </c>
      <c r="B37" s="39" t="s">
        <v>87</v>
      </c>
      <c r="C37" s="39" t="s">
        <v>43</v>
      </c>
      <c r="D37" s="40">
        <v>46285</v>
      </c>
      <c r="E37" s="39" t="s">
        <v>86</v>
      </c>
      <c r="F37" s="39" t="s">
        <v>36</v>
      </c>
      <c r="G37" s="39" t="str">
        <f t="shared" ref="G37:G68" si="1">IF(B37="","MISSING SN",IF(COUNTIF($B$5:$B$500,B37)&gt;1,"DUPLICATE","OK"))</f>
        <v>OK</v>
      </c>
    </row>
    <row r="38" spans="1:7" ht="14.4">
      <c r="A38" s="39" t="s">
        <v>84</v>
      </c>
      <c r="B38" s="39" t="s">
        <v>88</v>
      </c>
      <c r="C38" s="39" t="s">
        <v>45</v>
      </c>
      <c r="D38" s="40">
        <v>46288</v>
      </c>
      <c r="E38" s="39" t="s">
        <v>86</v>
      </c>
      <c r="F38" s="39" t="s">
        <v>36</v>
      </c>
      <c r="G38" s="39" t="str">
        <f t="shared" si="1"/>
        <v>OK</v>
      </c>
    </row>
    <row r="39" spans="1:7" ht="14.4">
      <c r="A39" s="39" t="s">
        <v>84</v>
      </c>
      <c r="B39" s="39" t="s">
        <v>89</v>
      </c>
      <c r="C39" s="39" t="s">
        <v>45</v>
      </c>
      <c r="D39" s="40">
        <v>46293</v>
      </c>
      <c r="E39" s="39" t="s">
        <v>86</v>
      </c>
      <c r="F39" s="39" t="s">
        <v>36</v>
      </c>
      <c r="G39" s="39" t="str">
        <f t="shared" si="1"/>
        <v>OK</v>
      </c>
    </row>
    <row r="40" spans="1:7" ht="14.4">
      <c r="A40" s="39" t="s">
        <v>84</v>
      </c>
      <c r="B40" s="39" t="s">
        <v>90</v>
      </c>
      <c r="C40" s="39" t="s">
        <v>34</v>
      </c>
      <c r="D40" s="40">
        <v>46295</v>
      </c>
      <c r="E40" s="39" t="s">
        <v>86</v>
      </c>
      <c r="F40" s="39" t="s">
        <v>36</v>
      </c>
      <c r="G40" s="39" t="str">
        <f t="shared" si="1"/>
        <v>OK</v>
      </c>
    </row>
    <row r="41" spans="1:7" ht="14.4">
      <c r="A41" s="39" t="s">
        <v>91</v>
      </c>
      <c r="B41" s="39" t="s">
        <v>92</v>
      </c>
      <c r="C41" s="39" t="s">
        <v>45</v>
      </c>
      <c r="D41" s="40">
        <v>46296</v>
      </c>
      <c r="E41" s="39" t="s">
        <v>93</v>
      </c>
      <c r="F41" s="39" t="s">
        <v>36</v>
      </c>
      <c r="G41" s="39" t="str">
        <f t="shared" si="1"/>
        <v>OK</v>
      </c>
    </row>
    <row r="42" spans="1:7" ht="14.4">
      <c r="A42" s="39" t="s">
        <v>91</v>
      </c>
      <c r="B42" s="39" t="s">
        <v>94</v>
      </c>
      <c r="C42" s="39" t="s">
        <v>38</v>
      </c>
      <c r="D42" s="40">
        <v>46291</v>
      </c>
      <c r="E42" s="39" t="s">
        <v>93</v>
      </c>
      <c r="F42" s="39" t="s">
        <v>36</v>
      </c>
      <c r="G42" s="39" t="str">
        <f t="shared" si="1"/>
        <v>OK</v>
      </c>
    </row>
    <row r="43" spans="1:7" ht="14.4">
      <c r="A43" s="39" t="s">
        <v>91</v>
      </c>
      <c r="B43" s="39" t="s">
        <v>95</v>
      </c>
      <c r="C43" s="39" t="s">
        <v>43</v>
      </c>
      <c r="D43" s="40">
        <v>46290</v>
      </c>
      <c r="E43" s="39" t="s">
        <v>93</v>
      </c>
      <c r="F43" s="39" t="s">
        <v>36</v>
      </c>
      <c r="G43" s="39" t="str">
        <f t="shared" si="1"/>
        <v>OK</v>
      </c>
    </row>
    <row r="44" spans="1:7" ht="14.4">
      <c r="A44" s="39" t="s">
        <v>91</v>
      </c>
      <c r="B44" s="39" t="s">
        <v>96</v>
      </c>
      <c r="C44" s="39" t="s">
        <v>34</v>
      </c>
      <c r="D44" s="40">
        <v>46294</v>
      </c>
      <c r="E44" s="39" t="s">
        <v>93</v>
      </c>
      <c r="F44" s="39" t="s">
        <v>36</v>
      </c>
      <c r="G44" s="39" t="str">
        <f t="shared" si="1"/>
        <v>OK</v>
      </c>
    </row>
    <row r="45" spans="1:7" ht="14.4">
      <c r="A45" s="39" t="s">
        <v>91</v>
      </c>
      <c r="B45" s="39" t="s">
        <v>97</v>
      </c>
      <c r="C45" s="39" t="s">
        <v>38</v>
      </c>
      <c r="D45" s="40">
        <v>46295</v>
      </c>
      <c r="E45" s="39" t="s">
        <v>93</v>
      </c>
      <c r="F45" s="39" t="s">
        <v>36</v>
      </c>
      <c r="G45" s="39" t="str">
        <f t="shared" si="1"/>
        <v>OK</v>
      </c>
    </row>
    <row r="46" spans="1:7" ht="14.4">
      <c r="A46" s="39" t="s">
        <v>91</v>
      </c>
      <c r="B46" s="39" t="s">
        <v>98</v>
      </c>
      <c r="C46" s="39" t="s">
        <v>43</v>
      </c>
      <c r="D46" s="40">
        <v>46285</v>
      </c>
      <c r="E46" s="39" t="s">
        <v>93</v>
      </c>
      <c r="F46" s="39" t="s">
        <v>36</v>
      </c>
      <c r="G46" s="39" t="str">
        <f t="shared" si="1"/>
        <v>OK</v>
      </c>
    </row>
    <row r="47" spans="1:7" ht="14.4">
      <c r="A47" s="39" t="s">
        <v>91</v>
      </c>
      <c r="B47" s="39" t="s">
        <v>99</v>
      </c>
      <c r="C47" s="39" t="s">
        <v>38</v>
      </c>
      <c r="D47" s="40">
        <v>46297</v>
      </c>
      <c r="E47" s="39" t="s">
        <v>93</v>
      </c>
      <c r="F47" s="39" t="s">
        <v>36</v>
      </c>
      <c r="G47" s="39" t="str">
        <f t="shared" si="1"/>
        <v>OK</v>
      </c>
    </row>
    <row r="48" spans="1:7" ht="14.4">
      <c r="A48" s="39" t="s">
        <v>100</v>
      </c>
      <c r="B48" s="39" t="s">
        <v>101</v>
      </c>
      <c r="C48" s="39" t="s">
        <v>43</v>
      </c>
      <c r="D48" s="40">
        <v>46287</v>
      </c>
      <c r="E48" s="39" t="s">
        <v>102</v>
      </c>
      <c r="F48" s="39" t="s">
        <v>36</v>
      </c>
      <c r="G48" s="39" t="str">
        <f t="shared" si="1"/>
        <v>OK</v>
      </c>
    </row>
    <row r="49" spans="1:7" ht="14.4">
      <c r="A49" s="39" t="s">
        <v>100</v>
      </c>
      <c r="B49" s="39" t="s">
        <v>103</v>
      </c>
      <c r="C49" s="39" t="s">
        <v>45</v>
      </c>
      <c r="D49" s="40">
        <v>46288</v>
      </c>
      <c r="E49" s="39" t="s">
        <v>102</v>
      </c>
      <c r="F49" s="39" t="s">
        <v>36</v>
      </c>
      <c r="G49" s="39" t="str">
        <f t="shared" si="1"/>
        <v>OK</v>
      </c>
    </row>
    <row r="50" spans="1:7" ht="14.4">
      <c r="A50" s="39" t="s">
        <v>100</v>
      </c>
      <c r="B50" s="39" t="s">
        <v>104</v>
      </c>
      <c r="C50" s="39" t="s">
        <v>34</v>
      </c>
      <c r="D50" s="40">
        <v>46285</v>
      </c>
      <c r="E50" s="39" t="s">
        <v>102</v>
      </c>
      <c r="F50" s="39" t="s">
        <v>36</v>
      </c>
      <c r="G50" s="39" t="str">
        <f t="shared" si="1"/>
        <v>OK</v>
      </c>
    </row>
    <row r="51" spans="1:7" ht="14.4">
      <c r="A51" s="39" t="s">
        <v>100</v>
      </c>
      <c r="B51" s="39" t="s">
        <v>105</v>
      </c>
      <c r="C51" s="39" t="s">
        <v>43</v>
      </c>
      <c r="D51" s="40">
        <v>46280</v>
      </c>
      <c r="E51" s="39" t="s">
        <v>102</v>
      </c>
      <c r="F51" s="39" t="s">
        <v>36</v>
      </c>
      <c r="G51" s="39" t="str">
        <f t="shared" si="1"/>
        <v>OK</v>
      </c>
    </row>
    <row r="52" spans="1:7" ht="14.4">
      <c r="A52" s="39" t="s">
        <v>106</v>
      </c>
      <c r="B52" s="39" t="s">
        <v>107</v>
      </c>
      <c r="C52" s="39" t="s">
        <v>43</v>
      </c>
      <c r="D52" s="40">
        <v>46299</v>
      </c>
      <c r="E52" s="39" t="s">
        <v>108</v>
      </c>
      <c r="F52" s="39" t="s">
        <v>36</v>
      </c>
      <c r="G52" s="39" t="str">
        <f t="shared" si="1"/>
        <v>OK</v>
      </c>
    </row>
    <row r="53" spans="1:7" ht="14.4">
      <c r="A53" s="39" t="s">
        <v>106</v>
      </c>
      <c r="B53" s="39" t="s">
        <v>109</v>
      </c>
      <c r="C53" s="39" t="s">
        <v>45</v>
      </c>
      <c r="D53" s="40">
        <v>46291</v>
      </c>
      <c r="E53" s="39" t="s">
        <v>108</v>
      </c>
      <c r="F53" s="39" t="s">
        <v>36</v>
      </c>
      <c r="G53" s="39" t="str">
        <f t="shared" si="1"/>
        <v>OK</v>
      </c>
    </row>
    <row r="54" spans="1:7" ht="14.4">
      <c r="A54" s="39" t="s">
        <v>106</v>
      </c>
      <c r="B54" s="39" t="s">
        <v>110</v>
      </c>
      <c r="C54" s="39" t="s">
        <v>43</v>
      </c>
      <c r="D54" s="40">
        <v>46280</v>
      </c>
      <c r="E54" s="39" t="s">
        <v>108</v>
      </c>
      <c r="F54" s="39" t="s">
        <v>36</v>
      </c>
      <c r="G54" s="39" t="str">
        <f t="shared" si="1"/>
        <v>OK</v>
      </c>
    </row>
    <row r="55" spans="1:7" ht="14.4">
      <c r="A55" s="39" t="s">
        <v>106</v>
      </c>
      <c r="B55" s="39" t="s">
        <v>111</v>
      </c>
      <c r="C55" s="39" t="s">
        <v>34</v>
      </c>
      <c r="D55" s="40">
        <v>46288</v>
      </c>
      <c r="E55" s="39" t="s">
        <v>108</v>
      </c>
      <c r="F55" s="39" t="s">
        <v>36</v>
      </c>
      <c r="G55" s="39" t="str">
        <f t="shared" si="1"/>
        <v>OK</v>
      </c>
    </row>
    <row r="56" spans="1:7" ht="14.4">
      <c r="A56" s="39" t="s">
        <v>106</v>
      </c>
      <c r="B56" s="39" t="s">
        <v>112</v>
      </c>
      <c r="C56" s="39" t="s">
        <v>45</v>
      </c>
      <c r="D56" s="40">
        <v>46287</v>
      </c>
      <c r="E56" s="39" t="s">
        <v>108</v>
      </c>
      <c r="F56" s="39" t="s">
        <v>36</v>
      </c>
      <c r="G56" s="39" t="str">
        <f t="shared" si="1"/>
        <v>OK</v>
      </c>
    </row>
    <row r="57" spans="1:7" ht="14.4">
      <c r="A57" s="39" t="s">
        <v>106</v>
      </c>
      <c r="B57" s="39" t="s">
        <v>113</v>
      </c>
      <c r="C57" s="39" t="s">
        <v>38</v>
      </c>
      <c r="D57" s="40">
        <v>46295</v>
      </c>
      <c r="E57" s="39" t="s">
        <v>108</v>
      </c>
      <c r="F57" s="39" t="s">
        <v>36</v>
      </c>
      <c r="G57" s="39" t="str">
        <f t="shared" si="1"/>
        <v>OK</v>
      </c>
    </row>
    <row r="58" spans="1:7" ht="14.4">
      <c r="A58" s="39" t="s">
        <v>114</v>
      </c>
      <c r="B58" s="39" t="s">
        <v>115</v>
      </c>
      <c r="C58" s="39" t="s">
        <v>34</v>
      </c>
      <c r="D58" s="40">
        <v>46294</v>
      </c>
      <c r="E58" s="39" t="s">
        <v>116</v>
      </c>
      <c r="F58" s="39" t="s">
        <v>36</v>
      </c>
      <c r="G58" s="39" t="str">
        <f t="shared" si="1"/>
        <v>OK</v>
      </c>
    </row>
    <row r="59" spans="1:7" ht="14.4">
      <c r="A59" s="39" t="s">
        <v>114</v>
      </c>
      <c r="B59" s="39" t="s">
        <v>117</v>
      </c>
      <c r="C59" s="39" t="s">
        <v>43</v>
      </c>
      <c r="D59" s="40">
        <v>46294</v>
      </c>
      <c r="E59" s="39" t="s">
        <v>116</v>
      </c>
      <c r="F59" s="39" t="s">
        <v>36</v>
      </c>
      <c r="G59" s="39" t="str">
        <f t="shared" si="1"/>
        <v>OK</v>
      </c>
    </row>
    <row r="60" spans="1:7" ht="14.4">
      <c r="A60" s="39" t="s">
        <v>114</v>
      </c>
      <c r="B60" s="39" t="s">
        <v>118</v>
      </c>
      <c r="C60" s="39" t="s">
        <v>34</v>
      </c>
      <c r="D60" s="40">
        <v>46299</v>
      </c>
      <c r="E60" s="39" t="s">
        <v>116</v>
      </c>
      <c r="F60" s="39" t="s">
        <v>36</v>
      </c>
      <c r="G60" s="39" t="str">
        <f t="shared" si="1"/>
        <v>OK</v>
      </c>
    </row>
    <row r="61" spans="1:7" ht="14.4">
      <c r="A61" s="39" t="s">
        <v>114</v>
      </c>
      <c r="B61" s="39" t="s">
        <v>119</v>
      </c>
      <c r="C61" s="39" t="s">
        <v>45</v>
      </c>
      <c r="D61" s="40">
        <v>46288</v>
      </c>
      <c r="E61" s="39" t="s">
        <v>116</v>
      </c>
      <c r="F61" s="39" t="s">
        <v>36</v>
      </c>
      <c r="G61" s="39" t="str">
        <f t="shared" si="1"/>
        <v>OK</v>
      </c>
    </row>
    <row r="62" spans="1:7" ht="14.4">
      <c r="A62" s="39" t="s">
        <v>114</v>
      </c>
      <c r="B62" s="39" t="s">
        <v>120</v>
      </c>
      <c r="C62" s="39" t="s">
        <v>34</v>
      </c>
      <c r="D62" s="40">
        <v>46296</v>
      </c>
      <c r="E62" s="39" t="s">
        <v>116</v>
      </c>
      <c r="F62" s="39" t="s">
        <v>36</v>
      </c>
      <c r="G62" s="39" t="str">
        <f t="shared" si="1"/>
        <v>OK</v>
      </c>
    </row>
    <row r="63" spans="1:7" ht="14.4">
      <c r="A63" s="39" t="s">
        <v>114</v>
      </c>
      <c r="B63" s="39" t="s">
        <v>121</v>
      </c>
      <c r="C63" s="39" t="s">
        <v>38</v>
      </c>
      <c r="D63" s="40">
        <v>46286</v>
      </c>
      <c r="E63" s="39" t="s">
        <v>116</v>
      </c>
      <c r="F63" s="39" t="s">
        <v>36</v>
      </c>
      <c r="G63" s="39" t="str">
        <f t="shared" si="1"/>
        <v>OK</v>
      </c>
    </row>
    <row r="64" spans="1:7" ht="14.4">
      <c r="A64" s="39" t="s">
        <v>114</v>
      </c>
      <c r="B64" s="39" t="s">
        <v>122</v>
      </c>
      <c r="C64" s="39" t="s">
        <v>34</v>
      </c>
      <c r="D64" s="40">
        <v>46296</v>
      </c>
      <c r="E64" s="39" t="s">
        <v>116</v>
      </c>
      <c r="F64" s="39" t="s">
        <v>36</v>
      </c>
      <c r="G64" s="39" t="str">
        <f t="shared" si="1"/>
        <v>OK</v>
      </c>
    </row>
    <row r="65" spans="1:7" ht="14.4">
      <c r="A65" s="39" t="s">
        <v>114</v>
      </c>
      <c r="B65" s="39" t="s">
        <v>123</v>
      </c>
      <c r="C65" s="39" t="s">
        <v>34</v>
      </c>
      <c r="D65" s="40">
        <v>46280</v>
      </c>
      <c r="E65" s="39" t="s">
        <v>116</v>
      </c>
      <c r="F65" s="39" t="s">
        <v>36</v>
      </c>
      <c r="G65" s="39" t="str">
        <f t="shared" si="1"/>
        <v>OK</v>
      </c>
    </row>
    <row r="66" spans="1:7" ht="14.4">
      <c r="A66" s="39" t="s">
        <v>114</v>
      </c>
      <c r="B66" s="39" t="s">
        <v>124</v>
      </c>
      <c r="C66" s="39" t="s">
        <v>45</v>
      </c>
      <c r="D66" s="40">
        <v>46280</v>
      </c>
      <c r="E66" s="39" t="s">
        <v>116</v>
      </c>
      <c r="F66" s="39" t="s">
        <v>36</v>
      </c>
      <c r="G66" s="39" t="str">
        <f t="shared" si="1"/>
        <v>OK</v>
      </c>
    </row>
    <row r="67" spans="1:7" ht="14.4">
      <c r="A67" s="39" t="s">
        <v>114</v>
      </c>
      <c r="B67" s="39" t="s">
        <v>125</v>
      </c>
      <c r="C67" s="39" t="s">
        <v>43</v>
      </c>
      <c r="D67" s="40">
        <v>46297</v>
      </c>
      <c r="E67" s="39" t="s">
        <v>116</v>
      </c>
      <c r="F67" s="39" t="s">
        <v>36</v>
      </c>
      <c r="G67" s="39" t="str">
        <f t="shared" si="1"/>
        <v>OK</v>
      </c>
    </row>
    <row r="68" spans="1:7" ht="14.4">
      <c r="A68" s="39" t="s">
        <v>126</v>
      </c>
      <c r="B68" s="39" t="s">
        <v>127</v>
      </c>
      <c r="C68" s="39" t="s">
        <v>43</v>
      </c>
      <c r="D68" s="40">
        <v>46287</v>
      </c>
      <c r="E68" s="39" t="s">
        <v>128</v>
      </c>
      <c r="F68" s="39" t="s">
        <v>36</v>
      </c>
      <c r="G68" s="39" t="str">
        <f t="shared" si="1"/>
        <v>OK</v>
      </c>
    </row>
    <row r="69" spans="1:7" ht="14.4">
      <c r="A69" s="39" t="s">
        <v>126</v>
      </c>
      <c r="B69" s="39" t="s">
        <v>129</v>
      </c>
      <c r="C69" s="39" t="s">
        <v>43</v>
      </c>
      <c r="D69" s="40">
        <v>46293</v>
      </c>
      <c r="E69" s="39" t="s">
        <v>128</v>
      </c>
      <c r="F69" s="39" t="s">
        <v>36</v>
      </c>
      <c r="G69" s="39" t="str">
        <f t="shared" ref="G69:G105" si="2">IF(B69="","MISSING SN",IF(COUNTIF($B$5:$B$500,B69)&gt;1,"DUPLICATE","OK"))</f>
        <v>OK</v>
      </c>
    </row>
    <row r="70" spans="1:7" ht="14.4">
      <c r="A70" s="39" t="s">
        <v>126</v>
      </c>
      <c r="B70" s="39" t="s">
        <v>130</v>
      </c>
      <c r="C70" s="39" t="s">
        <v>38</v>
      </c>
      <c r="D70" s="40">
        <v>46281</v>
      </c>
      <c r="E70" s="39" t="s">
        <v>128</v>
      </c>
      <c r="F70" s="39" t="s">
        <v>36</v>
      </c>
      <c r="G70" s="39" t="str">
        <f t="shared" si="2"/>
        <v>OK</v>
      </c>
    </row>
    <row r="71" spans="1:7" ht="14.4">
      <c r="A71" s="39" t="s">
        <v>126</v>
      </c>
      <c r="B71" s="39" t="s">
        <v>131</v>
      </c>
      <c r="C71" s="39" t="s">
        <v>34</v>
      </c>
      <c r="D71" s="40">
        <v>46281</v>
      </c>
      <c r="E71" s="39" t="s">
        <v>128</v>
      </c>
      <c r="F71" s="39" t="s">
        <v>36</v>
      </c>
      <c r="G71" s="39" t="str">
        <f t="shared" si="2"/>
        <v>OK</v>
      </c>
    </row>
    <row r="72" spans="1:7" ht="14.4">
      <c r="A72" s="39" t="s">
        <v>126</v>
      </c>
      <c r="B72" s="39" t="s">
        <v>132</v>
      </c>
      <c r="C72" s="39" t="s">
        <v>38</v>
      </c>
      <c r="D72" s="40">
        <v>46293</v>
      </c>
      <c r="E72" s="39" t="s">
        <v>128</v>
      </c>
      <c r="F72" s="39" t="s">
        <v>36</v>
      </c>
      <c r="G72" s="39" t="str">
        <f t="shared" si="2"/>
        <v>OK</v>
      </c>
    </row>
    <row r="73" spans="1:7" ht="14.4">
      <c r="A73" s="39" t="s">
        <v>133</v>
      </c>
      <c r="B73" s="39" t="s">
        <v>134</v>
      </c>
      <c r="C73" s="39" t="s">
        <v>38</v>
      </c>
      <c r="D73" s="40">
        <v>46286</v>
      </c>
      <c r="E73" s="39" t="s">
        <v>135</v>
      </c>
      <c r="F73" s="39" t="s">
        <v>36</v>
      </c>
      <c r="G73" s="39" t="str">
        <f t="shared" si="2"/>
        <v>OK</v>
      </c>
    </row>
    <row r="74" spans="1:7" ht="14.4">
      <c r="A74" s="39" t="s">
        <v>133</v>
      </c>
      <c r="B74" s="39" t="s">
        <v>136</v>
      </c>
      <c r="C74" s="39" t="s">
        <v>34</v>
      </c>
      <c r="D74" s="40">
        <v>46291</v>
      </c>
      <c r="E74" s="39" t="s">
        <v>135</v>
      </c>
      <c r="F74" s="39" t="s">
        <v>36</v>
      </c>
      <c r="G74" s="39" t="str">
        <f t="shared" si="2"/>
        <v>OK</v>
      </c>
    </row>
    <row r="75" spans="1:7" ht="14.4">
      <c r="A75" s="39" t="s">
        <v>133</v>
      </c>
      <c r="B75" s="39" t="s">
        <v>137</v>
      </c>
      <c r="C75" s="39" t="s">
        <v>38</v>
      </c>
      <c r="D75" s="40">
        <v>46298</v>
      </c>
      <c r="E75" s="39" t="s">
        <v>135</v>
      </c>
      <c r="F75" s="39" t="s">
        <v>36</v>
      </c>
      <c r="G75" s="39" t="str">
        <f t="shared" si="2"/>
        <v>OK</v>
      </c>
    </row>
    <row r="76" spans="1:7" ht="14.4">
      <c r="A76" s="39" t="s">
        <v>133</v>
      </c>
      <c r="B76" s="39" t="s">
        <v>138</v>
      </c>
      <c r="C76" s="39" t="s">
        <v>43</v>
      </c>
      <c r="D76" s="40">
        <v>46280</v>
      </c>
      <c r="E76" s="39" t="s">
        <v>135</v>
      </c>
      <c r="F76" s="39" t="s">
        <v>36</v>
      </c>
      <c r="G76" s="39" t="str">
        <f t="shared" si="2"/>
        <v>OK</v>
      </c>
    </row>
    <row r="77" spans="1:7" ht="14.4">
      <c r="A77" s="39" t="s">
        <v>133</v>
      </c>
      <c r="B77" s="39" t="s">
        <v>139</v>
      </c>
      <c r="C77" s="39" t="s">
        <v>43</v>
      </c>
      <c r="D77" s="40">
        <v>46280</v>
      </c>
      <c r="E77" s="39" t="s">
        <v>135</v>
      </c>
      <c r="F77" s="39" t="s">
        <v>36</v>
      </c>
      <c r="G77" s="39" t="str">
        <f t="shared" si="2"/>
        <v>OK</v>
      </c>
    </row>
    <row r="78" spans="1:7" ht="14.4">
      <c r="A78" s="39" t="s">
        <v>133</v>
      </c>
      <c r="B78" s="39" t="s">
        <v>140</v>
      </c>
      <c r="C78" s="39" t="s">
        <v>45</v>
      </c>
      <c r="D78" s="40">
        <v>46282</v>
      </c>
      <c r="E78" s="39" t="s">
        <v>135</v>
      </c>
      <c r="F78" s="39" t="s">
        <v>36</v>
      </c>
      <c r="G78" s="39" t="str">
        <f t="shared" si="2"/>
        <v>OK</v>
      </c>
    </row>
    <row r="79" spans="1:7" ht="14.4">
      <c r="A79" s="39" t="s">
        <v>133</v>
      </c>
      <c r="B79" s="39" t="s">
        <v>141</v>
      </c>
      <c r="C79" s="39" t="s">
        <v>38</v>
      </c>
      <c r="D79" s="40">
        <v>46297</v>
      </c>
      <c r="E79" s="39" t="s">
        <v>135</v>
      </c>
      <c r="F79" s="39" t="s">
        <v>36</v>
      </c>
      <c r="G79" s="39" t="str">
        <f t="shared" si="2"/>
        <v>OK</v>
      </c>
    </row>
    <row r="80" spans="1:7" ht="14.4">
      <c r="A80" s="39" t="s">
        <v>142</v>
      </c>
      <c r="B80" s="39" t="s">
        <v>143</v>
      </c>
      <c r="C80" s="39" t="s">
        <v>45</v>
      </c>
      <c r="D80" s="40">
        <v>46291</v>
      </c>
      <c r="E80" s="39" t="s">
        <v>144</v>
      </c>
      <c r="F80" s="39" t="s">
        <v>36</v>
      </c>
      <c r="G80" s="39" t="str">
        <f t="shared" si="2"/>
        <v>OK</v>
      </c>
    </row>
    <row r="81" spans="1:7" ht="14.4">
      <c r="A81" s="39" t="s">
        <v>142</v>
      </c>
      <c r="B81" s="39" t="s">
        <v>145</v>
      </c>
      <c r="C81" s="39" t="s">
        <v>43</v>
      </c>
      <c r="D81" s="40">
        <v>46289</v>
      </c>
      <c r="E81" s="39" t="s">
        <v>144</v>
      </c>
      <c r="F81" s="39" t="s">
        <v>36</v>
      </c>
      <c r="G81" s="39" t="str">
        <f t="shared" si="2"/>
        <v>OK</v>
      </c>
    </row>
    <row r="82" spans="1:7" ht="14.4">
      <c r="A82" s="39" t="s">
        <v>142</v>
      </c>
      <c r="B82" s="39" t="s">
        <v>146</v>
      </c>
      <c r="C82" s="39" t="s">
        <v>34</v>
      </c>
      <c r="D82" s="40">
        <v>46297</v>
      </c>
      <c r="E82" s="39" t="s">
        <v>144</v>
      </c>
      <c r="F82" s="39" t="s">
        <v>36</v>
      </c>
      <c r="G82" s="39" t="str">
        <f t="shared" si="2"/>
        <v>OK</v>
      </c>
    </row>
    <row r="83" spans="1:7" ht="14.4">
      <c r="A83" s="39" t="s">
        <v>142</v>
      </c>
      <c r="B83" s="39" t="s">
        <v>147</v>
      </c>
      <c r="C83" s="39" t="s">
        <v>38</v>
      </c>
      <c r="D83" s="40">
        <v>46299</v>
      </c>
      <c r="E83" s="39" t="s">
        <v>144</v>
      </c>
      <c r="F83" s="39" t="s">
        <v>36</v>
      </c>
      <c r="G83" s="39" t="str">
        <f t="shared" si="2"/>
        <v>OK</v>
      </c>
    </row>
    <row r="84" spans="1:7" ht="14.4">
      <c r="A84" s="39" t="s">
        <v>148</v>
      </c>
      <c r="B84" s="39" t="s">
        <v>149</v>
      </c>
      <c r="C84" s="39" t="s">
        <v>43</v>
      </c>
      <c r="D84" s="40">
        <v>46297</v>
      </c>
      <c r="E84" s="39" t="s">
        <v>150</v>
      </c>
      <c r="F84" s="39" t="s">
        <v>36</v>
      </c>
      <c r="G84" s="39" t="str">
        <f t="shared" si="2"/>
        <v>OK</v>
      </c>
    </row>
    <row r="85" spans="1:7" ht="14.4">
      <c r="A85" s="39" t="s">
        <v>148</v>
      </c>
      <c r="B85" s="39" t="s">
        <v>151</v>
      </c>
      <c r="C85" s="39" t="s">
        <v>38</v>
      </c>
      <c r="D85" s="40">
        <v>46298</v>
      </c>
      <c r="E85" s="39" t="s">
        <v>150</v>
      </c>
      <c r="F85" s="39" t="s">
        <v>36</v>
      </c>
      <c r="G85" s="39" t="str">
        <f t="shared" si="2"/>
        <v>OK</v>
      </c>
    </row>
    <row r="86" spans="1:7" ht="14.4">
      <c r="A86" s="39" t="s">
        <v>148</v>
      </c>
      <c r="B86" s="39" t="s">
        <v>152</v>
      </c>
      <c r="C86" s="39" t="s">
        <v>43</v>
      </c>
      <c r="D86" s="40">
        <v>46282</v>
      </c>
      <c r="E86" s="39" t="s">
        <v>150</v>
      </c>
      <c r="F86" s="39" t="s">
        <v>36</v>
      </c>
      <c r="G86" s="39" t="str">
        <f t="shared" si="2"/>
        <v>OK</v>
      </c>
    </row>
    <row r="87" spans="1:7" ht="14.4">
      <c r="A87" s="39" t="s">
        <v>148</v>
      </c>
      <c r="B87" s="39" t="s">
        <v>153</v>
      </c>
      <c r="C87" s="39" t="s">
        <v>38</v>
      </c>
      <c r="D87" s="40">
        <v>46291</v>
      </c>
      <c r="E87" s="39" t="s">
        <v>150</v>
      </c>
      <c r="F87" s="39" t="s">
        <v>36</v>
      </c>
      <c r="G87" s="39" t="str">
        <f t="shared" si="2"/>
        <v>OK</v>
      </c>
    </row>
    <row r="88" spans="1:7" ht="14.4">
      <c r="A88" s="39" t="s">
        <v>148</v>
      </c>
      <c r="B88" s="39" t="s">
        <v>154</v>
      </c>
      <c r="C88" s="39" t="s">
        <v>34</v>
      </c>
      <c r="D88" s="40">
        <v>46282</v>
      </c>
      <c r="E88" s="39" t="s">
        <v>150</v>
      </c>
      <c r="F88" s="39" t="s">
        <v>36</v>
      </c>
      <c r="G88" s="39" t="str">
        <f t="shared" si="2"/>
        <v>OK</v>
      </c>
    </row>
    <row r="89" spans="1:7" ht="14.4">
      <c r="A89" s="39" t="s">
        <v>148</v>
      </c>
      <c r="B89" s="39" t="s">
        <v>155</v>
      </c>
      <c r="C89" s="39" t="s">
        <v>34</v>
      </c>
      <c r="D89" s="40">
        <v>46284</v>
      </c>
      <c r="E89" s="39" t="s">
        <v>150</v>
      </c>
      <c r="F89" s="39" t="s">
        <v>36</v>
      </c>
      <c r="G89" s="39" t="str">
        <f t="shared" si="2"/>
        <v>OK</v>
      </c>
    </row>
    <row r="90" spans="1:7" ht="14.4">
      <c r="A90" s="39" t="s">
        <v>148</v>
      </c>
      <c r="B90" s="39" t="s">
        <v>156</v>
      </c>
      <c r="C90" s="39" t="s">
        <v>45</v>
      </c>
      <c r="D90" s="40">
        <v>46289</v>
      </c>
      <c r="E90" s="39" t="s">
        <v>150</v>
      </c>
      <c r="F90" s="39" t="s">
        <v>36</v>
      </c>
      <c r="G90" s="39" t="str">
        <f t="shared" si="2"/>
        <v>OK</v>
      </c>
    </row>
    <row r="91" spans="1:7" ht="14.4">
      <c r="A91" s="39" t="s">
        <v>157</v>
      </c>
      <c r="B91" s="39" t="s">
        <v>158</v>
      </c>
      <c r="C91" s="39" t="s">
        <v>38</v>
      </c>
      <c r="D91" s="40">
        <v>46291</v>
      </c>
      <c r="E91" s="39" t="s">
        <v>159</v>
      </c>
      <c r="F91" s="39" t="s">
        <v>36</v>
      </c>
      <c r="G91" s="39" t="str">
        <f t="shared" si="2"/>
        <v>OK</v>
      </c>
    </row>
    <row r="92" spans="1:7" ht="14.4">
      <c r="A92" s="39" t="s">
        <v>157</v>
      </c>
      <c r="B92" s="39" t="s">
        <v>160</v>
      </c>
      <c r="C92" s="39" t="s">
        <v>43</v>
      </c>
      <c r="D92" s="40">
        <v>46280</v>
      </c>
      <c r="E92" s="39" t="s">
        <v>159</v>
      </c>
      <c r="F92" s="39" t="s">
        <v>36</v>
      </c>
      <c r="G92" s="39" t="str">
        <f t="shared" si="2"/>
        <v>OK</v>
      </c>
    </row>
    <row r="93" spans="1:7" ht="14.4">
      <c r="A93" s="39" t="s">
        <v>157</v>
      </c>
      <c r="B93" s="39" t="s">
        <v>161</v>
      </c>
      <c r="C93" s="39" t="s">
        <v>43</v>
      </c>
      <c r="D93" s="40">
        <v>46295</v>
      </c>
      <c r="E93" s="39" t="s">
        <v>159</v>
      </c>
      <c r="F93" s="39" t="s">
        <v>36</v>
      </c>
      <c r="G93" s="39" t="str">
        <f t="shared" si="2"/>
        <v>OK</v>
      </c>
    </row>
    <row r="94" spans="1:7" ht="14.4">
      <c r="A94" s="39" t="s">
        <v>162</v>
      </c>
      <c r="B94" s="39" t="s">
        <v>163</v>
      </c>
      <c r="C94" s="39" t="s">
        <v>38</v>
      </c>
      <c r="D94" s="40">
        <v>46285</v>
      </c>
      <c r="E94" s="39" t="s">
        <v>164</v>
      </c>
      <c r="F94" s="39" t="s">
        <v>36</v>
      </c>
      <c r="G94" s="39" t="str">
        <f t="shared" si="2"/>
        <v>OK</v>
      </c>
    </row>
    <row r="95" spans="1:7" ht="14.4">
      <c r="A95" s="39" t="s">
        <v>162</v>
      </c>
      <c r="B95" s="39" t="s">
        <v>165</v>
      </c>
      <c r="C95" s="39" t="s">
        <v>45</v>
      </c>
      <c r="D95" s="40">
        <v>46299</v>
      </c>
      <c r="E95" s="39" t="s">
        <v>164</v>
      </c>
      <c r="F95" s="39" t="s">
        <v>36</v>
      </c>
      <c r="G95" s="39" t="str">
        <f t="shared" si="2"/>
        <v>OK</v>
      </c>
    </row>
    <row r="96" spans="1:7" ht="14.4">
      <c r="A96" s="39" t="s">
        <v>162</v>
      </c>
      <c r="B96" s="39" t="s">
        <v>166</v>
      </c>
      <c r="C96" s="39" t="s">
        <v>34</v>
      </c>
      <c r="D96" s="40">
        <v>46294</v>
      </c>
      <c r="E96" s="39" t="s">
        <v>164</v>
      </c>
      <c r="F96" s="39" t="s">
        <v>36</v>
      </c>
      <c r="G96" s="39" t="str">
        <f t="shared" si="2"/>
        <v>OK</v>
      </c>
    </row>
    <row r="97" spans="1:7" ht="14.4">
      <c r="A97" s="39" t="s">
        <v>162</v>
      </c>
      <c r="B97" s="39" t="s">
        <v>167</v>
      </c>
      <c r="C97" s="39" t="s">
        <v>43</v>
      </c>
      <c r="D97" s="40">
        <v>46290</v>
      </c>
      <c r="E97" s="39" t="s">
        <v>164</v>
      </c>
      <c r="F97" s="39" t="s">
        <v>36</v>
      </c>
      <c r="G97" s="39" t="str">
        <f t="shared" si="2"/>
        <v>OK</v>
      </c>
    </row>
    <row r="98" spans="1:7" ht="14.4">
      <c r="A98" s="39" t="s">
        <v>162</v>
      </c>
      <c r="B98" s="39" t="s">
        <v>168</v>
      </c>
      <c r="C98" s="39" t="s">
        <v>45</v>
      </c>
      <c r="D98" s="40">
        <v>46287</v>
      </c>
      <c r="E98" s="39" t="s">
        <v>164</v>
      </c>
      <c r="F98" s="39" t="s">
        <v>36</v>
      </c>
      <c r="G98" s="39" t="str">
        <f t="shared" si="2"/>
        <v>OK</v>
      </c>
    </row>
    <row r="99" spans="1:7" ht="14.4">
      <c r="A99" s="39" t="s">
        <v>162</v>
      </c>
      <c r="B99" s="39" t="s">
        <v>169</v>
      </c>
      <c r="C99" s="39" t="s">
        <v>45</v>
      </c>
      <c r="D99" s="40">
        <v>46291</v>
      </c>
      <c r="E99" s="39" t="s">
        <v>164</v>
      </c>
      <c r="F99" s="39" t="s">
        <v>36</v>
      </c>
      <c r="G99" s="39" t="str">
        <f t="shared" si="2"/>
        <v>OK</v>
      </c>
    </row>
    <row r="100" spans="1:7" ht="14.4">
      <c r="A100" s="39" t="s">
        <v>162</v>
      </c>
      <c r="B100" s="39" t="s">
        <v>170</v>
      </c>
      <c r="C100" s="39" t="s">
        <v>34</v>
      </c>
      <c r="D100" s="40">
        <v>46288</v>
      </c>
      <c r="E100" s="39" t="s">
        <v>164</v>
      </c>
      <c r="F100" s="39" t="s">
        <v>36</v>
      </c>
      <c r="G100" s="39" t="str">
        <f t="shared" si="2"/>
        <v>OK</v>
      </c>
    </row>
    <row r="101" spans="1:7" ht="14.4">
      <c r="A101" s="39" t="s">
        <v>162</v>
      </c>
      <c r="B101" s="39" t="s">
        <v>171</v>
      </c>
      <c r="C101" s="39" t="s">
        <v>43</v>
      </c>
      <c r="D101" s="40">
        <v>46293</v>
      </c>
      <c r="E101" s="39" t="s">
        <v>164</v>
      </c>
      <c r="F101" s="39" t="s">
        <v>36</v>
      </c>
      <c r="G101" s="39" t="str">
        <f t="shared" si="2"/>
        <v>OK</v>
      </c>
    </row>
    <row r="102" spans="1:7" ht="14.4">
      <c r="A102" s="39" t="s">
        <v>162</v>
      </c>
      <c r="B102" s="39" t="s">
        <v>172</v>
      </c>
      <c r="C102" s="39" t="s">
        <v>34</v>
      </c>
      <c r="D102" s="40">
        <v>46287</v>
      </c>
      <c r="E102" s="39" t="s">
        <v>164</v>
      </c>
      <c r="F102" s="39" t="s">
        <v>36</v>
      </c>
      <c r="G102" s="39" t="str">
        <f t="shared" si="2"/>
        <v>OK</v>
      </c>
    </row>
    <row r="103" spans="1:7" ht="14.4">
      <c r="A103" s="39" t="s">
        <v>162</v>
      </c>
      <c r="B103" s="39" t="s">
        <v>173</v>
      </c>
      <c r="C103" s="39" t="s">
        <v>43</v>
      </c>
      <c r="D103" s="40">
        <v>46296</v>
      </c>
      <c r="E103" s="39" t="s">
        <v>164</v>
      </c>
      <c r="F103" s="39" t="s">
        <v>36</v>
      </c>
      <c r="G103" s="39" t="str">
        <f t="shared" si="2"/>
        <v>OK</v>
      </c>
    </row>
    <row r="104" spans="1:7" ht="14.4">
      <c r="A104" s="39" t="s">
        <v>32</v>
      </c>
      <c r="B104" s="39" t="s">
        <v>40</v>
      </c>
      <c r="C104" s="39" t="s">
        <v>34</v>
      </c>
      <c r="D104" s="40">
        <v>46296</v>
      </c>
      <c r="E104" s="39" t="s">
        <v>174</v>
      </c>
      <c r="F104" s="39" t="s">
        <v>175</v>
      </c>
      <c r="G104" s="39" t="str">
        <f t="shared" si="2"/>
        <v>DUPLICATE</v>
      </c>
    </row>
    <row r="105" spans="1:7" ht="14.4">
      <c r="A105" s="39" t="s">
        <v>157</v>
      </c>
      <c r="B105" s="39" t="s">
        <v>214</v>
      </c>
      <c r="C105" s="39" t="s">
        <v>43</v>
      </c>
      <c r="D105" s="40">
        <v>46297</v>
      </c>
      <c r="E105" s="39" t="s">
        <v>164</v>
      </c>
      <c r="F105" s="39" t="s">
        <v>175</v>
      </c>
      <c r="G105" s="39" t="str">
        <f t="shared" si="2"/>
        <v>OK</v>
      </c>
    </row>
    <row r="106" spans="1:7" ht="14.4">
      <c r="A106" s="39">
        <v>6889</v>
      </c>
      <c r="B106" s="39" t="s">
        <v>217</v>
      </c>
      <c r="C106" s="39" t="s">
        <v>45</v>
      </c>
      <c r="D106" s="40" t="s">
        <v>213</v>
      </c>
      <c r="E106" s="39" t="s">
        <v>164</v>
      </c>
      <c r="F106" s="39"/>
      <c r="G106" s="39" t="str">
        <f>IF(B106="","MISSING SN",IF(COUNTIF($B$5:$B$500,B106)&gt;1,"DUPLICATE","OK"))</f>
        <v>OK</v>
      </c>
    </row>
    <row r="107" spans="1:7" ht="14.4">
      <c r="A107" s="39">
        <v>880</v>
      </c>
      <c r="B107" s="39" t="s">
        <v>216</v>
      </c>
      <c r="C107" s="39" t="s">
        <v>215</v>
      </c>
      <c r="D107" s="40"/>
      <c r="E107" s="39"/>
      <c r="F107" s="39"/>
      <c r="G107" s="39" t="str">
        <f>IF(B107="","MISSING SN",IF(COUNTIF($B$5:$B$500,B107)&gt;1,"DUPLICATE","OK"))</f>
        <v>OK</v>
      </c>
    </row>
  </sheetData>
  <conditionalFormatting sqref="F1:F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{0B1BD696-41F9-47B6-8DC3-853BDFC31764}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1BD696-41F9-47B6-8DC3-853BDFC317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="96" workbookViewId="0">
      <selection activeCell="C1" sqref="C1"/>
    </sheetView>
  </sheetViews>
  <sheetFormatPr defaultRowHeight="13.8"/>
  <cols>
    <col min="1" max="1" width="28.09765625" customWidth="1"/>
    <col min="2" max="2" width="24" customWidth="1"/>
    <col min="3" max="3" width="19" customWidth="1"/>
    <col min="4" max="4" width="43.59765625" customWidth="1"/>
    <col min="5" max="6" width="19" customWidth="1"/>
    <col min="7" max="7" width="41" customWidth="1"/>
  </cols>
  <sheetData>
    <row r="1" spans="1:7" ht="30.45" customHeight="1">
      <c r="A1" s="1" t="s">
        <v>176</v>
      </c>
      <c r="B1" s="1"/>
      <c r="C1" s="1"/>
      <c r="D1" s="1"/>
      <c r="E1" s="1"/>
      <c r="F1" s="1"/>
      <c r="G1" s="1"/>
    </row>
    <row r="2" spans="1:7" ht="6" customHeight="1">
      <c r="A2" s="25"/>
      <c r="B2" s="25"/>
      <c r="C2" s="25"/>
      <c r="D2" s="25"/>
      <c r="E2" s="25"/>
      <c r="F2" s="25"/>
      <c r="G2" s="25"/>
    </row>
    <row r="3" spans="1:7" hidden="1"/>
    <row r="4" spans="1:7" s="27" customFormat="1" ht="24" customHeight="1">
      <c r="A4" s="26" t="s">
        <v>20</v>
      </c>
      <c r="B4" s="26" t="s">
        <v>177</v>
      </c>
      <c r="C4" s="26" t="s">
        <v>178</v>
      </c>
      <c r="D4" s="26" t="s">
        <v>179</v>
      </c>
      <c r="E4" s="26" t="s">
        <v>180</v>
      </c>
      <c r="F4" s="26" t="s">
        <v>24</v>
      </c>
      <c r="G4" s="26" t="s">
        <v>181</v>
      </c>
    </row>
    <row r="5" spans="1:7">
      <c r="A5" t="s">
        <v>32</v>
      </c>
      <c r="B5">
        <v>9</v>
      </c>
      <c r="C5">
        <f>COUNTIFS('Unit Register'!$A$5:$A$500,A5,'Unit Register'!$G$5:$G$500,"OK")</f>
        <v>6</v>
      </c>
      <c r="D5">
        <f t="shared" ref="D5:D24" si="0">MAX(0,B5-C5)</f>
        <v>3</v>
      </c>
      <c r="E5" t="str">
        <f t="shared" ref="E5:E24" si="1">IF(D5=0,"Complete","Incomplete")</f>
        <v>Incomplete</v>
      </c>
      <c r="F5" s="3">
        <f>IFERROR(_xlfn.MAXIFS('Unit Register'!$D$5:$D$500,'Unit Register'!$A$5:$A$500,A5),"")</f>
        <v>46300</v>
      </c>
      <c r="G5" s="4">
        <f t="shared" ref="G5:G24" ca="1" si="2">IF(F5="","",TODAY()-F5)</f>
        <v>5</v>
      </c>
    </row>
    <row r="6" spans="1:7">
      <c r="A6" t="s">
        <v>46</v>
      </c>
      <c r="B6">
        <v>4</v>
      </c>
      <c r="C6">
        <f>COUNTIFS('Unit Register'!$A$5:$A$500,A6,'Unit Register'!$G$5:$G$500,"OK")</f>
        <v>3</v>
      </c>
      <c r="D6">
        <f t="shared" si="0"/>
        <v>1</v>
      </c>
      <c r="E6" t="str">
        <f t="shared" si="1"/>
        <v>Incomplete</v>
      </c>
      <c r="F6" s="3">
        <f>IFERROR(_xlfn.MAXIFS('Unit Register'!$D$5:$D$500,'Unit Register'!$A$5:$A$500,A6),"")</f>
        <v>46298</v>
      </c>
      <c r="G6" s="4">
        <f t="shared" ca="1" si="2"/>
        <v>7</v>
      </c>
    </row>
    <row r="7" spans="1:7">
      <c r="A7" t="s">
        <v>51</v>
      </c>
      <c r="B7">
        <v>5</v>
      </c>
      <c r="C7">
        <f>COUNTIFS('Unit Register'!$A$5:$A$500,A7,'Unit Register'!$G$5:$G$500,"OK")</f>
        <v>1</v>
      </c>
      <c r="D7">
        <f t="shared" si="0"/>
        <v>4</v>
      </c>
      <c r="E7" t="str">
        <f t="shared" si="1"/>
        <v>Incomplete</v>
      </c>
      <c r="F7" s="3">
        <f>IFERROR(_xlfn.MAXIFS('Unit Register'!$D$5:$D$500,'Unit Register'!$A$5:$A$500,A7),"")</f>
        <v>46292</v>
      </c>
      <c r="G7" s="4">
        <f t="shared" ca="1" si="2"/>
        <v>13</v>
      </c>
    </row>
    <row r="8" spans="1:7">
      <c r="A8" t="s">
        <v>182</v>
      </c>
      <c r="B8">
        <v>3</v>
      </c>
      <c r="C8">
        <f>COUNTIFS('Unit Register'!$A$5:$A$500,A8,'Unit Register'!$G$5:$G$500,"OK")</f>
        <v>0</v>
      </c>
      <c r="D8">
        <f t="shared" si="0"/>
        <v>3</v>
      </c>
      <c r="E8" t="str">
        <f t="shared" si="1"/>
        <v>Incomplete</v>
      </c>
      <c r="F8" s="3">
        <f>IFERROR(_xlfn.MAXIFS('Unit Register'!$D$5:$D$500,'Unit Register'!$A$5:$A$500,A8),"")</f>
        <v>0</v>
      </c>
      <c r="G8" s="4">
        <f t="shared" ca="1" si="2"/>
        <v>46305</v>
      </c>
    </row>
    <row r="9" spans="1:7">
      <c r="A9" t="s">
        <v>54</v>
      </c>
      <c r="B9">
        <v>2</v>
      </c>
      <c r="C9">
        <f>COUNTIFS('Unit Register'!$A$5:$A$500,A9,'Unit Register'!$G$5:$G$500,"OK")</f>
        <v>2</v>
      </c>
      <c r="D9">
        <f t="shared" si="0"/>
        <v>0</v>
      </c>
      <c r="E9" t="str">
        <f t="shared" si="1"/>
        <v>Complete</v>
      </c>
      <c r="F9" s="3">
        <f>IFERROR(_xlfn.MAXIFS('Unit Register'!$D$5:$D$500,'Unit Register'!$A$5:$A$500,A9),"")</f>
        <v>46294</v>
      </c>
      <c r="G9" s="4">
        <f t="shared" ca="1" si="2"/>
        <v>11</v>
      </c>
    </row>
    <row r="10" spans="1:7">
      <c r="A10" t="s">
        <v>58</v>
      </c>
      <c r="B10">
        <v>3</v>
      </c>
      <c r="C10">
        <f>COUNTIFS('Unit Register'!$A$5:$A$500,A10,'Unit Register'!$G$5:$G$500,"OK")</f>
        <v>3</v>
      </c>
      <c r="D10">
        <f t="shared" si="0"/>
        <v>0</v>
      </c>
      <c r="E10" t="str">
        <f t="shared" si="1"/>
        <v>Complete</v>
      </c>
      <c r="F10" s="3">
        <f>IFERROR(_xlfn.MAXIFS('Unit Register'!$D$5:$D$500,'Unit Register'!$A$5:$A$500,A10),"")</f>
        <v>46299</v>
      </c>
      <c r="G10" s="4">
        <f t="shared" ca="1" si="2"/>
        <v>6</v>
      </c>
    </row>
    <row r="11" spans="1:7">
      <c r="A11" t="s">
        <v>63</v>
      </c>
      <c r="B11">
        <v>10</v>
      </c>
      <c r="C11">
        <f>COUNTIFS('Unit Register'!$A$5:$A$500,A11,'Unit Register'!$G$5:$G$500,"OK")</f>
        <v>7</v>
      </c>
      <c r="D11">
        <f t="shared" si="0"/>
        <v>3</v>
      </c>
      <c r="E11" t="str">
        <f t="shared" si="1"/>
        <v>Incomplete</v>
      </c>
      <c r="F11" s="3">
        <f>IFERROR(_xlfn.MAXIFS('Unit Register'!$D$5:$D$500,'Unit Register'!$A$5:$A$500,A11),"")</f>
        <v>46300</v>
      </c>
      <c r="G11" s="4">
        <f t="shared" ca="1" si="2"/>
        <v>5</v>
      </c>
    </row>
    <row r="12" spans="1:7">
      <c r="A12" t="s">
        <v>72</v>
      </c>
      <c r="B12">
        <v>7</v>
      </c>
      <c r="C12">
        <f>COUNTIFS('Unit Register'!$A$5:$A$500,A12,'Unit Register'!$G$5:$G$500,"OK")</f>
        <v>6</v>
      </c>
      <c r="D12">
        <f t="shared" si="0"/>
        <v>1</v>
      </c>
      <c r="E12" t="str">
        <f t="shared" si="1"/>
        <v>Incomplete</v>
      </c>
      <c r="F12" s="3">
        <f>IFERROR(_xlfn.MAXIFS('Unit Register'!$D$5:$D$500,'Unit Register'!$A$5:$A$500,A12),"")</f>
        <v>46296</v>
      </c>
      <c r="G12" s="4">
        <f t="shared" ca="1" si="2"/>
        <v>9</v>
      </c>
    </row>
    <row r="13" spans="1:7">
      <c r="A13" t="s">
        <v>80</v>
      </c>
      <c r="B13">
        <v>2</v>
      </c>
      <c r="C13">
        <f>COUNTIFS('Unit Register'!$A$5:$A$500,A13,'Unit Register'!$G$5:$G$500,"OK")</f>
        <v>2</v>
      </c>
      <c r="D13">
        <f t="shared" si="0"/>
        <v>0</v>
      </c>
      <c r="E13" t="str">
        <f t="shared" si="1"/>
        <v>Complete</v>
      </c>
      <c r="F13" s="3">
        <f>IFERROR(_xlfn.MAXIFS('Unit Register'!$D$5:$D$500,'Unit Register'!$A$5:$A$500,A13),"")</f>
        <v>46287</v>
      </c>
      <c r="G13" s="4">
        <f t="shared" ca="1" si="2"/>
        <v>18</v>
      </c>
    </row>
    <row r="14" spans="1:7">
      <c r="A14" t="s">
        <v>84</v>
      </c>
      <c r="B14">
        <v>8</v>
      </c>
      <c r="C14">
        <f>COUNTIFS('Unit Register'!$A$5:$A$500,A14,'Unit Register'!$G$5:$G$500,"OK")</f>
        <v>5</v>
      </c>
      <c r="D14">
        <f t="shared" si="0"/>
        <v>3</v>
      </c>
      <c r="E14" t="str">
        <f t="shared" si="1"/>
        <v>Incomplete</v>
      </c>
      <c r="F14" s="3">
        <f>IFERROR(_xlfn.MAXIFS('Unit Register'!$D$5:$D$500,'Unit Register'!$A$5:$A$500,A14),"")</f>
        <v>46297</v>
      </c>
      <c r="G14" s="4">
        <f t="shared" ca="1" si="2"/>
        <v>8</v>
      </c>
    </row>
    <row r="15" spans="1:7">
      <c r="A15" t="s">
        <v>91</v>
      </c>
      <c r="B15">
        <v>7</v>
      </c>
      <c r="C15">
        <f>COUNTIFS('Unit Register'!$A$5:$A$500,A15,'Unit Register'!$G$5:$G$500,"OK")</f>
        <v>7</v>
      </c>
      <c r="D15">
        <f t="shared" si="0"/>
        <v>0</v>
      </c>
      <c r="E15" t="str">
        <f t="shared" si="1"/>
        <v>Complete</v>
      </c>
      <c r="F15" s="3">
        <f>IFERROR(_xlfn.MAXIFS('Unit Register'!$D$5:$D$500,'Unit Register'!$A$5:$A$500,A15),"")</f>
        <v>46297</v>
      </c>
      <c r="G15" s="4">
        <f t="shared" ca="1" si="2"/>
        <v>8</v>
      </c>
    </row>
    <row r="16" spans="1:7">
      <c r="A16" t="s">
        <v>100</v>
      </c>
      <c r="B16">
        <v>7</v>
      </c>
      <c r="C16">
        <f>COUNTIFS('Unit Register'!$A$5:$A$500,A16,'Unit Register'!$G$5:$G$500,"OK")</f>
        <v>4</v>
      </c>
      <c r="D16">
        <f t="shared" si="0"/>
        <v>3</v>
      </c>
      <c r="E16" t="str">
        <f t="shared" si="1"/>
        <v>Incomplete</v>
      </c>
      <c r="F16" s="3">
        <f>IFERROR(_xlfn.MAXIFS('Unit Register'!$D$5:$D$500,'Unit Register'!$A$5:$A$500,A16),"")</f>
        <v>46288</v>
      </c>
      <c r="G16" s="4">
        <f t="shared" ca="1" si="2"/>
        <v>17</v>
      </c>
    </row>
    <row r="17" spans="1:7">
      <c r="A17" t="s">
        <v>106</v>
      </c>
      <c r="B17">
        <v>10</v>
      </c>
      <c r="C17">
        <f>COUNTIFS('Unit Register'!$A$5:$A$500,A17,'Unit Register'!$G$5:$G$500,"OK")</f>
        <v>6</v>
      </c>
      <c r="D17">
        <f t="shared" si="0"/>
        <v>4</v>
      </c>
      <c r="E17" t="str">
        <f t="shared" si="1"/>
        <v>Incomplete</v>
      </c>
      <c r="F17" s="3">
        <f>IFERROR(_xlfn.MAXIFS('Unit Register'!$D$5:$D$500,'Unit Register'!$A$5:$A$500,A17),"")</f>
        <v>46299</v>
      </c>
      <c r="G17" s="4">
        <f t="shared" ca="1" si="2"/>
        <v>6</v>
      </c>
    </row>
    <row r="18" spans="1:7">
      <c r="A18" t="s">
        <v>114</v>
      </c>
      <c r="B18">
        <v>12</v>
      </c>
      <c r="C18">
        <f>COUNTIFS('Unit Register'!$A$5:$A$500,A18,'Unit Register'!$G$5:$G$500,"OK")</f>
        <v>10</v>
      </c>
      <c r="D18">
        <f t="shared" si="0"/>
        <v>2</v>
      </c>
      <c r="E18" t="str">
        <f t="shared" si="1"/>
        <v>Incomplete</v>
      </c>
      <c r="F18" s="3">
        <f>IFERROR(_xlfn.MAXIFS('Unit Register'!$D$5:$D$500,'Unit Register'!$A$5:$A$500,A18),"")</f>
        <v>46299</v>
      </c>
      <c r="G18" s="4">
        <f t="shared" ca="1" si="2"/>
        <v>6</v>
      </c>
    </row>
    <row r="19" spans="1:7">
      <c r="A19" t="s">
        <v>126</v>
      </c>
      <c r="B19">
        <v>6</v>
      </c>
      <c r="C19">
        <f>COUNTIFS('Unit Register'!$A$5:$A$500,A19,'Unit Register'!$G$5:$G$500,"OK")</f>
        <v>5</v>
      </c>
      <c r="D19">
        <f t="shared" si="0"/>
        <v>1</v>
      </c>
      <c r="E19" t="str">
        <f t="shared" si="1"/>
        <v>Incomplete</v>
      </c>
      <c r="F19" s="3">
        <f>IFERROR(_xlfn.MAXIFS('Unit Register'!$D$5:$D$500,'Unit Register'!$A$5:$A$500,A19),"")</f>
        <v>46293</v>
      </c>
      <c r="G19" s="4">
        <f t="shared" ca="1" si="2"/>
        <v>12</v>
      </c>
    </row>
    <row r="20" spans="1:7">
      <c r="A20" t="s">
        <v>133</v>
      </c>
      <c r="B20">
        <v>11</v>
      </c>
      <c r="C20">
        <f>COUNTIFS('Unit Register'!$A$5:$A$500,A20,'Unit Register'!$G$5:$G$500,"OK")</f>
        <v>7</v>
      </c>
      <c r="D20">
        <f t="shared" si="0"/>
        <v>4</v>
      </c>
      <c r="E20" t="str">
        <f t="shared" si="1"/>
        <v>Incomplete</v>
      </c>
      <c r="F20" s="3">
        <f>IFERROR(_xlfn.MAXIFS('Unit Register'!$D$5:$D$500,'Unit Register'!$A$5:$A$500,A20),"")</f>
        <v>46298</v>
      </c>
      <c r="G20" s="4">
        <f t="shared" ca="1" si="2"/>
        <v>7</v>
      </c>
    </row>
    <row r="21" spans="1:7">
      <c r="A21" t="s">
        <v>142</v>
      </c>
      <c r="B21">
        <v>5</v>
      </c>
      <c r="C21">
        <f>COUNTIFS('Unit Register'!$A$5:$A$500,A21,'Unit Register'!$G$5:$G$500,"OK")</f>
        <v>4</v>
      </c>
      <c r="D21">
        <f t="shared" si="0"/>
        <v>1</v>
      </c>
      <c r="E21" t="str">
        <f t="shared" si="1"/>
        <v>Incomplete</v>
      </c>
      <c r="F21" s="3">
        <f>IFERROR(_xlfn.MAXIFS('Unit Register'!$D$5:$D$500,'Unit Register'!$A$5:$A$500,A21),"")</f>
        <v>46299</v>
      </c>
      <c r="G21" s="4">
        <f t="shared" ca="1" si="2"/>
        <v>6</v>
      </c>
    </row>
    <row r="22" spans="1:7">
      <c r="A22" t="s">
        <v>148</v>
      </c>
      <c r="B22">
        <v>11</v>
      </c>
      <c r="C22">
        <f>COUNTIFS('Unit Register'!$A$5:$A$500,A22,'Unit Register'!$G$5:$G$500,"OK")</f>
        <v>7</v>
      </c>
      <c r="D22">
        <f t="shared" si="0"/>
        <v>4</v>
      </c>
      <c r="E22" t="str">
        <f t="shared" si="1"/>
        <v>Incomplete</v>
      </c>
      <c r="F22" s="3">
        <f>IFERROR(_xlfn.MAXIFS('Unit Register'!$D$5:$D$500,'Unit Register'!$A$5:$A$500,A22),"")</f>
        <v>46298</v>
      </c>
      <c r="G22" s="4">
        <f t="shared" ca="1" si="2"/>
        <v>7</v>
      </c>
    </row>
    <row r="23" spans="1:7">
      <c r="A23" t="s">
        <v>157</v>
      </c>
      <c r="B23">
        <v>6</v>
      </c>
      <c r="C23">
        <f>COUNTIFS('Unit Register'!$A$5:$A$500,A23,'Unit Register'!$G$5:$G$500,"OK")</f>
        <v>4</v>
      </c>
      <c r="D23">
        <f t="shared" si="0"/>
        <v>2</v>
      </c>
      <c r="E23" t="str">
        <f t="shared" si="1"/>
        <v>Incomplete</v>
      </c>
      <c r="F23" s="3">
        <f>IFERROR(_xlfn.MAXIFS('Unit Register'!$D$5:$D$500,'Unit Register'!$A$5:$A$500,A23),"")</f>
        <v>46297</v>
      </c>
      <c r="G23" s="4">
        <f t="shared" ca="1" si="2"/>
        <v>8</v>
      </c>
    </row>
    <row r="24" spans="1:7">
      <c r="A24" t="s">
        <v>162</v>
      </c>
      <c r="B24">
        <v>11</v>
      </c>
      <c r="C24">
        <f>COUNTIFS('Unit Register'!$A$5:$A$500,A24,'Unit Register'!$G$5:$G$500,"OK")</f>
        <v>10</v>
      </c>
      <c r="D24">
        <f t="shared" si="0"/>
        <v>1</v>
      </c>
      <c r="E24" t="str">
        <f t="shared" si="1"/>
        <v>Incomplete</v>
      </c>
      <c r="F24" s="3">
        <f>IFERROR(_xlfn.MAXIFS('Unit Register'!$D$5:$D$500,'Unit Register'!$A$5:$A$500,A24),"")</f>
        <v>46299</v>
      </c>
      <c r="G24" s="4">
        <f t="shared" ca="1" si="2"/>
        <v>6</v>
      </c>
    </row>
  </sheetData>
  <conditionalFormatting sqref="D5:D24">
    <cfRule type="dataBar" priority="1">
      <dataBar>
        <cfvo type="min"/>
        <cfvo type="max"/>
        <color rgb="FFE7A24B"/>
      </dataBar>
    </cfRule>
    <cfRule type="dataBar" priority="2">
      <dataBar>
        <cfvo type="min"/>
        <cfvo type="max"/>
        <color rgb="FFE7A24B"/>
      </dataBar>
      <extLst>
        <ext xmlns:x14="http://schemas.microsoft.com/office/spreadsheetml/2009/9/main" uri="{B025F937-C7B1-47D3-B67F-A62EFF666E3E}">
          <x14:id>{9633E211-203A-B537-DBF2-3595365267C3}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33E211-203A-B537-DBF2-3595365267C3}">
            <x14:dataBar>
              <x14:cfvo type="min"/>
              <x14:cfvo type="max"/>
              <x14:negativeFillColor auto="1"/>
              <x14:axisColor auto="1"/>
            </x14:dataBar>
          </x14:cfRule>
          <xm:sqref>D5:D24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opLeftCell="A2" zoomScale="127" workbookViewId="0">
      <selection activeCell="H12" sqref="H12"/>
    </sheetView>
  </sheetViews>
  <sheetFormatPr defaultRowHeight="13.8"/>
  <cols>
    <col min="1" max="1" width="44.59765625" customWidth="1"/>
    <col min="2" max="2" width="32" customWidth="1"/>
    <col min="3" max="7" width="19" customWidth="1"/>
  </cols>
  <sheetData>
    <row r="1" spans="1:7" ht="30.45" customHeight="1">
      <c r="A1" s="1" t="s">
        <v>183</v>
      </c>
      <c r="B1" s="1"/>
      <c r="C1" s="1"/>
      <c r="D1" s="1"/>
      <c r="E1" s="1"/>
      <c r="F1" s="1"/>
      <c r="G1" s="1"/>
    </row>
    <row r="4" spans="1:7" ht="24" customHeight="1">
      <c r="A4" s="2" t="s">
        <v>184</v>
      </c>
      <c r="B4" s="2" t="s">
        <v>185</v>
      </c>
    </row>
    <row r="5" spans="1:7">
      <c r="A5" t="s">
        <v>186</v>
      </c>
      <c r="B5">
        <f>COUNTIF('Unit Register'!G5:G500,"DUPLICATE")</f>
        <v>2</v>
      </c>
    </row>
    <row r="6" spans="1:7">
      <c r="A6" t="s">
        <v>187</v>
      </c>
      <c r="B6">
        <f>COUNTIF('Unit Register'!G5:G500,"MISSING SN")</f>
        <v>0</v>
      </c>
    </row>
    <row r="7" spans="1:7">
      <c r="A7" t="s">
        <v>188</v>
      </c>
      <c r="B7">
        <f>COUNTIFS('Unit Register'!C5:C500,"&lt;&gt;",'Unit Register'!A5:A500,"")</f>
        <v>0</v>
      </c>
    </row>
    <row r="8" spans="1:7">
      <c r="A8" t="s">
        <v>189</v>
      </c>
      <c r="B8">
        <f>COUNTIF('Unit Register'!F5:F500,"Review")</f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>
      <selection activeCell="A15" sqref="A15"/>
    </sheetView>
  </sheetViews>
  <sheetFormatPr defaultRowHeight="13.8"/>
  <cols>
    <col min="1" max="1" width="47.59765625" customWidth="1"/>
    <col min="2" max="2" width="142.69921875" customWidth="1"/>
    <col min="3" max="3" width="30.59765625" customWidth="1"/>
    <col min="4" max="4" width="38.796875" customWidth="1"/>
    <col min="5" max="5" width="45.5" customWidth="1"/>
    <col min="6" max="7" width="19" customWidth="1"/>
  </cols>
  <sheetData>
    <row r="1" spans="1:7" ht="30.45" customHeight="1">
      <c r="A1" s="1" t="s">
        <v>190</v>
      </c>
      <c r="B1" s="1"/>
      <c r="C1" s="1"/>
      <c r="D1" s="1"/>
      <c r="E1" s="1"/>
      <c r="F1" s="1"/>
      <c r="G1" s="1"/>
    </row>
    <row r="2" spans="1:7" s="25" customFormat="1" ht="3.6" customHeight="1"/>
    <row r="3" spans="1:7" ht="2.4" customHeight="1"/>
    <row r="4" spans="1:7" ht="24" customHeight="1">
      <c r="A4" s="28" t="s">
        <v>191</v>
      </c>
      <c r="B4" s="28" t="s">
        <v>192</v>
      </c>
      <c r="C4" s="29"/>
      <c r="D4" s="29"/>
    </row>
    <row r="5" spans="1:7" ht="17.399999999999999">
      <c r="A5" s="29" t="s">
        <v>193</v>
      </c>
      <c r="B5" s="29" t="s">
        <v>194</v>
      </c>
      <c r="C5" s="29"/>
      <c r="D5" s="29"/>
    </row>
    <row r="6" spans="1:7" ht="17.399999999999999">
      <c r="A6" s="29" t="s">
        <v>195</v>
      </c>
      <c r="B6" s="29" t="s">
        <v>196</v>
      </c>
      <c r="C6" s="29"/>
      <c r="D6" s="29"/>
    </row>
    <row r="7" spans="1:7" ht="17.399999999999999">
      <c r="A7" s="29" t="s">
        <v>197</v>
      </c>
      <c r="B7" s="29" t="s">
        <v>198</v>
      </c>
      <c r="C7" s="29"/>
      <c r="D7" s="29"/>
    </row>
    <row r="8" spans="1:7" ht="17.399999999999999">
      <c r="A8" s="29" t="s">
        <v>199</v>
      </c>
      <c r="B8" s="29" t="s">
        <v>200</v>
      </c>
      <c r="C8" s="29"/>
      <c r="D8" s="29"/>
    </row>
    <row r="9" spans="1:7" ht="17.399999999999999">
      <c r="A9" s="29" t="s">
        <v>201</v>
      </c>
      <c r="B9" s="29" t="s">
        <v>202</v>
      </c>
      <c r="C9" s="29"/>
      <c r="D9" s="29"/>
    </row>
    <row r="10" spans="1:7" ht="17.399999999999999">
      <c r="A10" s="29" t="s">
        <v>203</v>
      </c>
      <c r="B10" s="29" t="s">
        <v>204</v>
      </c>
      <c r="C10" s="29"/>
      <c r="D10" s="29"/>
    </row>
    <row r="11" spans="1:7" ht="17.399999999999999">
      <c r="A11" s="29" t="s">
        <v>205</v>
      </c>
      <c r="B11" s="29" t="s">
        <v>206</v>
      </c>
      <c r="C11" s="29"/>
      <c r="D11" s="29"/>
    </row>
    <row r="12" spans="1:7" ht="17.399999999999999">
      <c r="A12" s="29" t="s">
        <v>207</v>
      </c>
      <c r="B12" s="29" t="s">
        <v>208</v>
      </c>
      <c r="C12" s="29"/>
      <c r="D12" s="29"/>
    </row>
    <row r="13" spans="1:7" ht="17.399999999999999">
      <c r="A13" s="29" t="s">
        <v>209</v>
      </c>
      <c r="B13" s="29" t="s">
        <v>210</v>
      </c>
      <c r="C13" s="29"/>
      <c r="D13" s="29"/>
    </row>
    <row r="14" spans="1:7" ht="17.399999999999999">
      <c r="A14" s="29"/>
      <c r="B14" s="29"/>
      <c r="C14" s="29"/>
      <c r="D14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Unit Register</vt:lpstr>
      <vt:lpstr>Order Summary</vt:lpstr>
      <vt:lpstr>Audit Checks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etienne</dc:creator>
  <cp:lastModifiedBy>christian etienne</cp:lastModifiedBy>
  <dcterms:created xsi:type="dcterms:W3CDTF">2026-10-10T01:59:59Z</dcterms:created>
  <dcterms:modified xsi:type="dcterms:W3CDTF">2026-10-10T17:58:48Z</dcterms:modified>
</cp:coreProperties>
</file>